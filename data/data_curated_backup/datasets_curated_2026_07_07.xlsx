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ycharmProjects\phd\review\data\"/>
    </mc:Choice>
  </mc:AlternateContent>
  <xr:revisionPtr revIDLastSave="0" documentId="13_ncr:2001_{FD169DA0-D514-421C-A96F-5149E67FC613}" xr6:coauthVersionLast="47" xr6:coauthVersionMax="47" xr10:uidLastSave="{00000000-0000-0000-0000-000000000000}"/>
  <bookViews>
    <workbookView xWindow="9180" yWindow="705" windowWidth="19275" windowHeight="14445" activeTab="3" xr2:uid="{858DE54C-9521-41D4-BB08-A240D7CAD42D}"/>
  </bookViews>
  <sheets>
    <sheet name="papers" sheetId="1" r:id="rId1"/>
    <sheet name="Data_SP" sheetId="3" r:id="rId2"/>
    <sheet name="Data_multi" sheetId="7" r:id="rId3"/>
    <sheet name="Data_ST" sheetId="2" r:id="rId4"/>
  </sheets>
  <definedNames>
    <definedName name="bbib18" localSheetId="1">Data_SP!$U$16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4" i="3" l="1"/>
  <c r="R24" i="3"/>
  <c r="R18" i="3"/>
  <c r="S6" i="3"/>
  <c r="R6" i="3"/>
</calcChain>
</file>

<file path=xl/sharedStrings.xml><?xml version="1.0" encoding="utf-8"?>
<sst xmlns="http://schemas.openxmlformats.org/spreadsheetml/2006/main" count="1846" uniqueCount="983">
  <si>
    <t>category</t>
  </si>
  <si>
    <t>pipeline_category</t>
  </si>
  <si>
    <t>name</t>
  </si>
  <si>
    <t>Notes</t>
  </si>
  <si>
    <t>https://doi.org/10.1016/j.cels.2018.02.010</t>
  </si>
  <si>
    <t>computational analysis - method</t>
  </si>
  <si>
    <t>Preprocessing</t>
  </si>
  <si>
    <t>CATALYST</t>
  </si>
  <si>
    <t>https://doi.org/10.1371/journal.pcbi.1008887</t>
  </si>
  <si>
    <t>MAUI  part of the pipeline)</t>
  </si>
  <si>
    <t>https://doi.org/10.1038/s41467-023-37123-6</t>
  </si>
  <si>
    <t>IMC-Denoise</t>
  </si>
  <si>
    <t>https://doi.org/10.1038/s41596-023-00881-0</t>
  </si>
  <si>
    <t>Steinbock</t>
  </si>
  <si>
    <t>https://doi.org/10.1002/cyto.a.24480</t>
  </si>
  <si>
    <t>SABR</t>
  </si>
  <si>
    <t>https://doi.org/10.1016/j.csbj.2024.10.048</t>
  </si>
  <si>
    <t>PENGUIN</t>
  </si>
  <si>
    <t>https://doi.org/10.1038/s41592-020-01018-x</t>
  </si>
  <si>
    <t>Cell segmentation - Imaging based</t>
  </si>
  <si>
    <t>https://doi.org/10.1186/gb-2006-7-10-r100</t>
  </si>
  <si>
    <t xml:space="preserve">Cellprofiller </t>
  </si>
  <si>
    <t>https://doi.org/10.1038/s41587-021-01094-0</t>
  </si>
  <si>
    <t>https://doi.org/10.1038/s41467-024-48870-5</t>
  </si>
  <si>
    <t>part of the TRACERx-PHLEX</t>
  </si>
  <si>
    <t>https://doi.org/10.48550/arXiv.1806.03535</t>
  </si>
  <si>
    <t>Stardist</t>
  </si>
  <si>
    <t>https://doi.org/10.1101/2020.10.27.357640</t>
  </si>
  <si>
    <t>SPlineDist</t>
  </si>
  <si>
    <t>https://doi.org/10.1186/s12915-021-01043-y</t>
  </si>
  <si>
    <t>MATISSE</t>
  </si>
  <si>
    <t>https://doi.org/10.1038/s41592-021-01308-y</t>
  </si>
  <si>
    <t>MCMICRO</t>
  </si>
  <si>
    <t>https://doi.org/10.1186/s12859-022-04570-9</t>
  </si>
  <si>
    <t>CellSeg</t>
  </si>
  <si>
    <t>https://doi.org/10.1038/s41587-021-01044-w</t>
  </si>
  <si>
    <t>Cell segmentation - Transcript based</t>
  </si>
  <si>
    <t>Baysor</t>
  </si>
  <si>
    <t>https://doi.org/10.1038/s41592-019-0631-4</t>
  </si>
  <si>
    <t>pciSeq</t>
  </si>
  <si>
    <t>https://doi.org/10.1038/s41467-021-23807-4</t>
  </si>
  <si>
    <t>SSAM</t>
  </si>
  <si>
    <t>https://doi.org/10.1038/s41592-024-02415-2</t>
  </si>
  <si>
    <t>FICTURE</t>
  </si>
  <si>
    <t>https://doi.org/10.1038/s41467-021-26044-x</t>
  </si>
  <si>
    <t>ClusterMap</t>
  </si>
  <si>
    <t>https://doi.org/10.1093/bioadv/vbac048</t>
  </si>
  <si>
    <t>Sparcle</t>
  </si>
  <si>
    <t>https://doi.org/10.1038/s41467-023-44560-w</t>
  </si>
  <si>
    <t>BIDCell</t>
  </si>
  <si>
    <t>https://doi.org/10.1038/s42003-024-06480-3</t>
  </si>
  <si>
    <t>ComSeg</t>
  </si>
  <si>
    <t>https://doi.org/10.1111/febs.15572</t>
  </si>
  <si>
    <t>Spage2vec</t>
  </si>
  <si>
    <t>https://doi.org/10.1038/s41467-017-01689-9</t>
  </si>
  <si>
    <t>Phenotyping</t>
  </si>
  <si>
    <t>Cytosplore</t>
  </si>
  <si>
    <t>10.1016/j.cell.2015.05.047</t>
  </si>
  <si>
    <t>Phenograph</t>
  </si>
  <si>
    <t>10.1002/cyto.a.22625</t>
  </si>
  <si>
    <t>FlowSOM</t>
  </si>
  <si>
    <t>https://doi.org/10.1038/s41596-021-00550-0</t>
  </si>
  <si>
    <t>https://doi.org/10.1038/nmeth.4391</t>
  </si>
  <si>
    <t>Niche/Neighborhood/domain analysis</t>
  </si>
  <si>
    <t>histoCAT</t>
  </si>
  <si>
    <t>https://doi.org/10.1016/j.cell.2020.07.005</t>
  </si>
  <si>
    <t>schurch - coordinated neighborhoods</t>
  </si>
  <si>
    <t>https://doi.org/10.1038/s41587-024-02193-4</t>
  </si>
  <si>
    <t>COVET</t>
  </si>
  <si>
    <t>https://doi.org/10.1038/s41588-025-02120-6</t>
  </si>
  <si>
    <t>NicheCompass</t>
  </si>
  <si>
    <t>https://doi.org/10.1038/nbt.4260</t>
  </si>
  <si>
    <t xml:space="preserve">Zhu et all. </t>
  </si>
  <si>
    <t>https://doi.org/10.1038/s41587-021-00935-2</t>
  </si>
  <si>
    <t>BayesSpace</t>
  </si>
  <si>
    <t>https://doi.org/10.1038/s41467-023-43120-6</t>
  </si>
  <si>
    <t>stLearn</t>
  </si>
  <si>
    <t>https://doi.org/10.1038/s41592-021-01255-8</t>
  </si>
  <si>
    <t>spaGCN</t>
  </si>
  <si>
    <t>https://doi.org/10.1038/s41467-023-36796-3</t>
  </si>
  <si>
    <t>GraphST</t>
  </si>
  <si>
    <t> https://doi.org/10.1038/s41467-022-29439-6</t>
  </si>
  <si>
    <t>STAGATE</t>
  </si>
  <si>
    <t>https://doi.org/10.1038/s41588-024-01664-3</t>
  </si>
  <si>
    <t>Banksy</t>
  </si>
  <si>
    <t>https://doi.org/10.1038/s41467-023-42343-x</t>
  </si>
  <si>
    <t>NeST</t>
  </si>
  <si>
    <t>https://doi.org/10.1016/j.cels.2021.09.012</t>
  </si>
  <si>
    <t>TissueSchematics</t>
  </si>
  <si>
    <t>https://doi.org/10.1016/j.celrep.2019.08.077</t>
  </si>
  <si>
    <t>SVCA</t>
  </si>
  <si>
    <t>https://doi.org/10.1186/s13059-025-03637-z</t>
  </si>
  <si>
    <t>spaMGCN:</t>
  </si>
  <si>
    <t>https://doi.org/10.1186/s13059-022-02663-5</t>
  </si>
  <si>
    <t>Misty</t>
  </si>
  <si>
    <t>https://doi.org/10.1038/nmeth.4636</t>
  </si>
  <si>
    <t>Spatial Variable Genes</t>
  </si>
  <si>
    <t>SpatialDE</t>
  </si>
  <si>
    <t>https://doi.org/10.1101/2021.10.27.466045</t>
  </si>
  <si>
    <t>SpatialDE2</t>
  </si>
  <si>
    <t>https://doi.org/10.1038/s41592-019-0701-7</t>
  </si>
  <si>
    <t>SPARK</t>
  </si>
  <si>
    <t>https://doi.org/10.1186/s13059-021-02404-0</t>
  </si>
  <si>
    <t>SPARK-X</t>
  </si>
  <si>
    <t>https://doi.org/10.1093/bioinformatics/btab164</t>
  </si>
  <si>
    <t>sepal</t>
  </si>
  <si>
    <t>https://doi.org/10.1038/s41467-022-33182-3</t>
  </si>
  <si>
    <t>scGCO </t>
  </si>
  <si>
    <t>https://doi.org/10.1038/nmeth.4634</t>
  </si>
  <si>
    <t>trendseek</t>
  </si>
  <si>
    <t>https://doi.org/10.1038/s41556-024-01469-w</t>
  </si>
  <si>
    <t>Cell-Cell-Communication</t>
  </si>
  <si>
    <t>LIANA+</t>
  </si>
  <si>
    <t>https://doi.org/10.1038/s41587-022-01467-z</t>
  </si>
  <si>
    <t>NCEM</t>
  </si>
  <si>
    <t>https://doi.org/10.1038/s41467-022-32111-8</t>
  </si>
  <si>
    <t>SpaTalk</t>
  </si>
  <si>
    <t>https://doi.org/10.1038/s41592-022-01728-4</t>
  </si>
  <si>
    <t>COMMOT</t>
  </si>
  <si>
    <t>https://doi.org/10.1038/s41467-023-39608-w</t>
  </si>
  <si>
    <t>SpatialDM</t>
  </si>
  <si>
    <t>https://doi.org/10.1038/s41596-024-01121-9</t>
  </si>
  <si>
    <t>NicheNEt</t>
  </si>
  <si>
    <t>https://doi.org/10.1038/s41592-019-0667-5</t>
  </si>
  <si>
    <t>https://doi.org/10.1038/s41596-024-01137-1</t>
  </si>
  <si>
    <t>CellPhoneDB</t>
  </si>
  <si>
    <t>https://doi.org/10.1038/s41467-021-21246-9</t>
  </si>
  <si>
    <t>CellChat</t>
  </si>
  <si>
    <t>https://doi.org/10.1038/s41592-024-02408-1</t>
  </si>
  <si>
    <t>Spacia</t>
  </si>
  <si>
    <t>https://doi.org/10.1101/2023.06.13.544751</t>
  </si>
  <si>
    <t>MultiNicheNEt</t>
  </si>
  <si>
    <t>https://doi.org/10.1186/s13059-020-02214-w</t>
  </si>
  <si>
    <t>GCNG</t>
  </si>
  <si>
    <t>https://doi.org/10.1016/j.media.2022.102384</t>
  </si>
  <si>
    <t xml:space="preserve">Label separation/pattern extraction - ML </t>
  </si>
  <si>
    <t>NaroNet</t>
  </si>
  <si>
    <t>called it a better thing. Separate labels, DL for classification. Add NMR F62</t>
  </si>
  <si>
    <t>https://doi.org/10.1016/j.compbiomed.2023.106576</t>
  </si>
  <si>
    <t xml:space="preserve">Fu et al. </t>
  </si>
  <si>
    <t>https://doi.org/10.1016/j.cell.2021.12.023</t>
  </si>
  <si>
    <t>https://doi.org/10.1016/j.patter.2023.100829</t>
  </si>
  <si>
    <t>S3-CIMA</t>
  </si>
  <si>
    <t>https://doi.org/10.1038/s41592-021-01343-9</t>
  </si>
  <si>
    <t>Label separation/pattern extraction - factor analysis ; spatiotemporal dynamics</t>
  </si>
  <si>
    <t>MEFISTO</t>
  </si>
  <si>
    <t>https://doi.org/10.1038/s41586-024-08453-2</t>
  </si>
  <si>
    <t>Other; spatiotemporal dynamics</t>
  </si>
  <si>
    <t>Moscot</t>
  </si>
  <si>
    <t>https://doi.org/10.1186/s13059-025-03588-5</t>
  </si>
  <si>
    <t>spatiotemporal dynamics; other</t>
  </si>
  <si>
    <t>ONTraC</t>
  </si>
  <si>
    <t>https://doi.org/10.1038/s41592-024-02212-x</t>
  </si>
  <si>
    <t>General Framework</t>
  </si>
  <si>
    <t>SpatialData</t>
  </si>
  <si>
    <t>https://doi.org/10.1038/s41587-023-01935-0</t>
  </si>
  <si>
    <t>Integration of modalities; Other</t>
  </si>
  <si>
    <t>https://doi.org/10.1038/s41588-025-02119-z</t>
  </si>
  <si>
    <t>Other</t>
  </si>
  <si>
    <t>https://doi.org/10.1016/j.cels.2025.101261</t>
  </si>
  <si>
    <t>https://doi.org/10.1038/s41592-025-02617-2</t>
  </si>
  <si>
    <t>computational analysis - review; computational analysis - Benchmarking</t>
  </si>
  <si>
    <t>optimizing xenium data utility</t>
  </si>
  <si>
    <t>https://doi.org/10.1186/s12859-025-06044-0</t>
  </si>
  <si>
    <t>benchmark cell type xenium</t>
  </si>
  <si>
    <t>https://doi.org/10.1038/s41592-021-01358-2</t>
  </si>
  <si>
    <t>Squidpy</t>
  </si>
  <si>
    <t>https://doi.org/10.1093/bioinformatics/btac299</t>
  </si>
  <si>
    <t>SpatialExperiment</t>
  </si>
  <si>
    <t>https://doi.org/10.1186/s13059-021-02286-2</t>
  </si>
  <si>
    <t>Giotto</t>
  </si>
  <si>
    <t>https://doi.org/10.1038/s41467-018-06868-w</t>
  </si>
  <si>
    <t>Subcellular localization</t>
  </si>
  <si>
    <t>https://doi.org/10.1038/s41551-020-0578-x</t>
  </si>
  <si>
    <t>https://doi.org/10.1038/s41467-022-30033-z</t>
  </si>
  <si>
    <t>Cell type Deconvolution</t>
  </si>
  <si>
    <t>Stdeconvolve</t>
  </si>
  <si>
    <t xml:space="preserve">added because I think there will be a lot of papers. </t>
  </si>
  <si>
    <t>10.1016/j.cels.2021.09.012</t>
  </si>
  <si>
    <t>https://doi.org/10.1038/s41698-025-00857-1</t>
  </si>
  <si>
    <t>computational analysis - review</t>
  </si>
  <si>
    <t>https://doi.org/10.1038/s41592-024-02539-5</t>
  </si>
  <si>
    <t>https://doi.org/10.1038/s41576-023-00586-w</t>
  </si>
  <si>
    <t>https://doi.org/10.1093/bioadv/vbad046</t>
  </si>
  <si>
    <t>only IMC</t>
  </si>
  <si>
    <t>https://doi.org/10.1038/s41576-022-00553-x</t>
  </si>
  <si>
    <t>Application review, Tecnhical review; General omics review</t>
  </si>
  <si>
    <t>https://doi.org/10.1038/s41590-023-01678-9</t>
  </si>
  <si>
    <t>https://doi.org/10.1038/s41571-024-00926-7</t>
  </si>
  <si>
    <t>https://doi.org/10.1038/s41592-022-01409-2</t>
  </si>
  <si>
    <t>application review, computational analysis - review</t>
  </si>
  <si>
    <t>ST museum</t>
  </si>
  <si>
    <t>https://doi.org/10.1186/s41232-025-00369-2</t>
  </si>
  <si>
    <t>application review</t>
  </si>
  <si>
    <t>https://doi.org/10.1186/s13073-022-01075-1</t>
  </si>
  <si>
    <t>10.1007/s00281-022-00974-0</t>
  </si>
  <si>
    <t>Application review</t>
  </si>
  <si>
    <t>https://doi.org/10.1136/gutjnl-2022-327608</t>
  </si>
  <si>
    <t>Application</t>
  </si>
  <si>
    <t xml:space="preserve">Jessica paper - CRC </t>
  </si>
  <si>
    <t>https://doi.org/10.1016/j.ccell.2025.01.012</t>
  </si>
  <si>
    <t>https://doi.org/10.1038/s41467-023-36325-2</t>
  </si>
  <si>
    <t>https://doi.org/10.1038/s41467-024-54364-1</t>
  </si>
  <si>
    <t>10.1038/s41586-019-1876-x</t>
  </si>
  <si>
    <t>https://doi.org/10.1038/s43856-022-00197-2</t>
  </si>
  <si>
    <t>https://doi.org/10.1038/s41588-025-02193-3</t>
  </si>
  <si>
    <t>https://doi.org/10.1038/s41467-024-47271-y</t>
  </si>
  <si>
    <t>https://doi.org/10.1038/s41467-023-40156-6</t>
  </si>
  <si>
    <t>https://doi.org/10.1038/s41467-023-43458-x</t>
  </si>
  <si>
    <t>https://doi.org/10.1186/s40364-024-00636-3</t>
  </si>
  <si>
    <t>https://doi.org/10.1038/s43018-021-00301-w</t>
  </si>
  <si>
    <t>Technical Methods, Application</t>
  </si>
  <si>
    <t>3D IMC breast</t>
  </si>
  <si>
    <t>https://doi.org/10.1038/s41587-023-01937-y</t>
  </si>
  <si>
    <t>https://doi.org/10.1038/s41596-021-00556-8</t>
  </si>
  <si>
    <t>CODEX</t>
  </si>
  <si>
    <t>Xenium</t>
  </si>
  <si>
    <t>spatial proteomics</t>
  </si>
  <si>
    <t>http://linnarssonlab.org/osmFISH/availability/</t>
  </si>
  <si>
    <t xml:space="preserve">MERFISH </t>
  </si>
  <si>
    <t xml:space="preserve">ISS </t>
  </si>
  <si>
    <t>https://doi.org/10.6084/m9.figshare.7150760.v1.</t>
  </si>
  <si>
    <t xml:space="preserve">STARmap </t>
  </si>
  <si>
    <t>https://www.starmapresources.com/data/</t>
  </si>
  <si>
    <t>seqFISH</t>
  </si>
  <si>
    <t>https://marionilab.cruk.cam.ac.uk/SpatialMouseAtlas/</t>
  </si>
  <si>
    <t xml:space="preserve"> 22 genes</t>
  </si>
  <si>
    <t>VISIUM</t>
  </si>
  <si>
    <t>heart</t>
  </si>
  <si>
    <t>Spatially resolved multiomics of human cardiac niches</t>
  </si>
  <si>
    <t>https://www.nature.com/articles/s41586-023-06311-1</t>
  </si>
  <si>
    <t>10.17632/v58yj49pfr.1</t>
  </si>
  <si>
    <t>acess_link</t>
  </si>
  <si>
    <t>https://data.mendeley.com/datasets/v58yj49pfr/1</t>
  </si>
  <si>
    <t>year</t>
  </si>
  <si>
    <t>10.1016/j.cels.2018.02.010</t>
  </si>
  <si>
    <t>notes</t>
  </si>
  <si>
    <t xml:space="preserve">CATALYST </t>
  </si>
  <si>
    <t>tissue</t>
  </si>
  <si>
    <t>breast</t>
  </si>
  <si>
    <t>cancer</t>
  </si>
  <si>
    <t>disease</t>
  </si>
  <si>
    <t>IMC</t>
  </si>
  <si>
    <t>N samples</t>
  </si>
  <si>
    <t>Marker</t>
  </si>
  <si>
    <t xml:space="preserve">D_SP_IMC </t>
  </si>
  <si>
    <t xml:space="preserve">data spatial proteomics </t>
  </si>
  <si>
    <t>Jackson et al., Nature 2020</t>
  </si>
  <si>
    <t>demo</t>
  </si>
  <si>
    <t xml:space="preserve"> a demo dataset. Not meant to be used for research just for tool demonstration. Very few samples …</t>
  </si>
  <si>
    <t>https://github.com/angelolab/MAUI/tree/develop/demo_data</t>
  </si>
  <si>
    <t>MIBI</t>
  </si>
  <si>
    <t xml:space="preserve">MAUI </t>
  </si>
  <si>
    <t>D_SP_IMC_1</t>
  </si>
  <si>
    <t>D_SP_MIBI_2</t>
  </si>
  <si>
    <t>D_SP_IMC_3</t>
  </si>
  <si>
    <t>https://zenodo.org/records/3518284</t>
  </si>
  <si>
    <t>10.5281/zenodo.3518283.</t>
  </si>
  <si>
    <t>D_SP_CODEX_4</t>
  </si>
  <si>
    <t>D_SP_MIBI_2; D_SP_IMC_3; D_SP_CODEX_4</t>
  </si>
  <si>
    <t>cohorts</t>
  </si>
  <si>
    <t>An antibody panel was designed to target epitopes specific for breast cancer as well as markers for cell cycle and phosphorylation-based signalling, and to distinguish epithelial, endothelial, mesenchymal and immune cell types</t>
  </si>
  <si>
    <t>N markers</t>
  </si>
  <si>
    <t>https://www.nature.com/articles/s41586-019-1876-x/figures/5</t>
  </si>
  <si>
    <t xml:space="preserve">maybe add here all the possible markers??? </t>
  </si>
  <si>
    <t>cohort</t>
  </si>
  <si>
    <t>https://www.cancerimagingarchive.net/collection/crc_ffpe-codex_cellneighs/</t>
  </si>
  <si>
    <t>Schurch et al., Cell 2020</t>
  </si>
  <si>
    <t>10.7937/TCIA.2020.FQN0-0326</t>
  </si>
  <si>
    <t>colorectal</t>
  </si>
  <si>
    <t>N patients</t>
  </si>
  <si>
    <t>clinical data</t>
  </si>
  <si>
    <t>yes</t>
  </si>
  <si>
    <t>Processed primary imaging data</t>
  </si>
  <si>
    <t>cancer - advanced</t>
  </si>
  <si>
    <t>a-SMA; b-catenin; BCL-2; CD11b; CD11c; CD134 (OX40); CD138; CD15; CD163; CD194 (CCR4); CD2; CD20; CD21; CD223 (LAG3); CD25; CD274 (PD-L1); CD278 (ICOS); CD279 (PD-1); CD3; CD30; CD31; CD34; CD38; CD4; CD44; CD45; CD45RA; CD45RO; CD5; CD56; CD57; CD68; CD68; CD7; CD71; CD79a; CD8; CDX2; Chromogranin A; Collagen IV; Cytokeratin 7; EGFR; EpCAM; FoxP3; GATA3; GFAP; Granzyme B; Hep-Par-1; HLA-DR; IDO-1; IRF4; Ki-67; Melan-A; MMP12; MMP9; MUC-1 (EMA); Na-K-ATPase; p53; Pan-Cytokeratin; PAX5; Podoplanin; Synaptophysin; T-bet; Vimentin; VISTA</t>
  </si>
  <si>
    <t>D_SP_IMC_5</t>
  </si>
  <si>
    <t>human bone marrow</t>
  </si>
  <si>
    <t>normal / disease</t>
  </si>
  <si>
    <t>https://zenodo.org/records/6533905</t>
  </si>
  <si>
    <t>https://doi.org/10.5281/zenodo.6533905</t>
  </si>
  <si>
    <t>IMCDenoise</t>
  </si>
  <si>
    <t>no</t>
  </si>
  <si>
    <t>10.17632/xbxnfg2zfs.1</t>
  </si>
  <si>
    <t>D_SP_IMC_6</t>
  </si>
  <si>
    <t>pancreas</t>
  </si>
  <si>
    <t>10.1016/j.cmet.2019.01.003</t>
  </si>
  <si>
    <t>https://data.mendeley.com/datasets/xbxnfg2zfs/1; https://data.mendeley.com/datasets/9b262xmtm9/1</t>
  </si>
  <si>
    <t>diabetes type 1</t>
  </si>
  <si>
    <t>10.17632/cydmwsfztj.1</t>
  </si>
  <si>
    <t>https://doi.org/10.1016/j.cmet.2018.11.014</t>
  </si>
  <si>
    <t>Damond et al.; Cell metabolism 2019</t>
  </si>
  <si>
    <t>D_SP_IMC_7</t>
  </si>
  <si>
    <t>Insulin; Proinsulin;Glucagon;somatostanin; pancreatic polypeptide; NKX6-1; PDX1;IAPP; PCSK2; SYP; CD99; SLC2A1; PTPRN; pancreatic amylase; cytokeratin19; CD44; CD45; Cd45RA; CD3e; CD4;CD8a;CD20;CD68;MPO;FOXP3; CD38; E/P cadherin; CD31; SMA; Ki67;pH3; pRB1; cPARP1; CA9; HistoneH3; DNA</t>
  </si>
  <si>
    <t>10.1016/j.cmet.2018.11.014</t>
  </si>
  <si>
    <t>https://data.mendeley.com/datasets/cydmwsfztj/1</t>
  </si>
  <si>
    <t>do not show nay data</t>
  </si>
  <si>
    <t>D_SP_IMC_8</t>
  </si>
  <si>
    <t>https://www.ebi.ac.uk/biostudies/bioimages/studies/S-BIAD587</t>
  </si>
  <si>
    <t>S-BIAD587</t>
  </si>
  <si>
    <t>CD8a; LAG-3; PD-1; ICOS; CD204; CD103; Tbet; CD163; HLA-DR; CD11b; TGFbeta; Granzyme B; TIM3; CD39; VISTA; CD14; CD56; Cleaved-caspase; CD7; CD11c; CD4; TCRgd; CD45; CD3; PD-L1; FOXP3; Vimentin; Keratin; B catenin; CD20; CD68; CD31; CD57; Ki-67; IDO; CD45RO; PDPN; CD38; CD15; p16ink4a</t>
  </si>
  <si>
    <t>cancer - early stage</t>
  </si>
  <si>
    <t>falta gEOMX  n fiz ainda esse dataset</t>
  </si>
  <si>
    <t>Roelands et al, gut 2022</t>
  </si>
  <si>
    <t>https://doi.org/10.1038/s43018-020-0026-6</t>
  </si>
  <si>
    <t>D_SP_IMC_9</t>
  </si>
  <si>
    <t>idr0076</t>
  </si>
  <si>
    <t>https://idr.openmicroscopy.org/webclient/?show=project-1302</t>
  </si>
  <si>
    <t xml:space="preserve">DOI </t>
  </si>
  <si>
    <t>accession number</t>
  </si>
  <si>
    <t xml:space="preserve"> 10.17867/10000146</t>
  </si>
  <si>
    <t>Estrogen Receptor Alpha; Estrogen Receptor Alpha; Histone H3; Tri-Methyl-Histone H3 (Lys27); Cytokeratin 5; Fibronectin; Cytokeratin 19; Cytokeratin 8/18; Twist1; CD68; Cytokeratin 14; SMA; Vimentin; c-Myc; c-erbB-2; CD3ε; Histone H3 Phospho (Ser28); ERK1/2 (pT202/pY204); Slug; Anti-Rabbit IgG Antibody; Progesterone Receptor A/B; Progesterone Receptor A/B; p53; CD44; EpCAM (CD326); CD45; GATA3; CD20; Non-phospho (Active) β-Catenin (Ser33/37/Thr41) (D13A1); Carbonic Anhydrase IX; E-Cadherin / P-Cadherin; Ki-67; EGF Receptor; Phospho-S6 Ribosomal Protein (Ser235/236) (D57.2.2E); Sox9; von Willebrand Factor; CD31; mTOR, phospho (Ser2448); Cytokeratin 7; pan Cytokeratin; Keratin Epithelial; Cleaved PARP (Asp214); Cleaved Caspase3</t>
  </si>
  <si>
    <t>S-BIAD830</t>
  </si>
  <si>
    <t>D_SP_IMC10</t>
  </si>
  <si>
    <t>https://www.ebi.ac.uk/biostudies/bioimages/studies/S-BIAD830</t>
  </si>
  <si>
    <t>10.1136/jitc-2023-008138</t>
  </si>
  <si>
    <t>Oost et al., 2024</t>
  </si>
  <si>
    <t>32 chordoma patients, including primary tumors, local recurrences and a metastasis.</t>
  </si>
  <si>
    <t>chordoma</t>
  </si>
  <si>
    <t>sarcoma</t>
  </si>
  <si>
    <t>10.1007/s00262-025-04123-y</t>
  </si>
  <si>
    <t>D_SP_IMC11</t>
  </si>
  <si>
    <t>10.6019/S-BIAD1555</t>
  </si>
  <si>
    <t>S-BIAD1555</t>
  </si>
  <si>
    <t>https://www.ebi.ac.uk/biostudies/bioimages/studies/S-BIAD1555</t>
  </si>
  <si>
    <t>https://zenodo.org/records/4110560</t>
  </si>
  <si>
    <t>lung</t>
  </si>
  <si>
    <t>COVID-19</t>
  </si>
  <si>
    <t>D_SP_IMC12</t>
  </si>
  <si>
    <t xml:space="preserve">N regions? </t>
  </si>
  <si>
    <t>https://doi.org/10.1038/s41586-021-03475-6</t>
  </si>
  <si>
    <t>IMC lung COVID</t>
  </si>
  <si>
    <t>Rendeiro, et al.2020</t>
  </si>
  <si>
    <t>10.1126/sciimmunol.abk1692</t>
  </si>
  <si>
    <t>Hoch et al. 2022</t>
  </si>
  <si>
    <t>https://www.cell.com/fulltext/S2405-4712(17)30543-4</t>
  </si>
  <si>
    <t>protocol of MRNA + IMC</t>
  </si>
  <si>
    <t>Cecelia: a multifunctional image analysis toolbox for decoding spatial cellular interactions and behaviour</t>
  </si>
  <si>
    <t>check this one is methods</t>
  </si>
  <si>
    <t>https://www.nature.com/articles/s41467-025-57193-y?fromPaywallRec=false</t>
  </si>
  <si>
    <t xml:space="preserve">majority of datasets are not relevant+ TissueNEt </t>
  </si>
  <si>
    <t>not spatial omics datasets</t>
  </si>
  <si>
    <t>D_SP_TN13</t>
  </si>
  <si>
    <t>https://datasets.deepcell.org/</t>
  </si>
  <si>
    <t>segmentation dataset</t>
  </si>
  <si>
    <t>nuclear channel (such as DAPI) and a membrane or cytoplasm channel (such as E-cadherin or Pan-Keratin).</t>
  </si>
  <si>
    <t xml:space="preserve">check the number and modalities </t>
  </si>
  <si>
    <t>D_SP_CODEX14</t>
  </si>
  <si>
    <t xml:space="preserve">important check their analysis </t>
  </si>
  <si>
    <t>melanoma - stage IV w/ treatment</t>
  </si>
  <si>
    <t>Hickey et al. 2023</t>
  </si>
  <si>
    <t>skin</t>
  </si>
  <si>
    <t>https://datadryad.org/dataset/doi:10.5061/dryad.k0p2ngfcc</t>
  </si>
  <si>
    <t>https://doi.org/10.5061/dryad.k0p2ngfcc</t>
  </si>
  <si>
    <t xml:space="preserve">only cells. Not raw files! </t>
  </si>
  <si>
    <t> 10.1016/j.celrep.2023.113494</t>
  </si>
  <si>
    <t>CODEX melanoma</t>
  </si>
  <si>
    <t xml:space="preserve">IMPORTANT THEREARE A LOT AND SOME PUBLISHED AFTER </t>
  </si>
  <si>
    <t>not spatial omics</t>
  </si>
  <si>
    <t>inflammatory bowel disease (IBD)</t>
  </si>
  <si>
    <t>colon</t>
  </si>
  <si>
    <t xml:space="preserve">check the number of images nad markers. Is  more of a demo </t>
  </si>
  <si>
    <t>Matisse</t>
  </si>
  <si>
    <t>D_SP_IMC15</t>
  </si>
  <si>
    <t>10.5281/zenodo.4727872. </t>
  </si>
  <si>
    <t>https://zenodo.org/records/4727873</t>
  </si>
  <si>
    <t xml:space="preserve">IMPORTANT SEVERAL </t>
  </si>
  <si>
    <t xml:space="preserve">I think is not available but check </t>
  </si>
  <si>
    <t>check review - https://www.nature.com/articles/s41580-024-00768-2?fromPaywallRec=false#Sec18</t>
  </si>
  <si>
    <t xml:space="preserve">notspatial omics data </t>
  </si>
  <si>
    <t xml:space="preserve">don’t know where the data is </t>
  </si>
  <si>
    <t xml:space="preserve">DIDN’T INCLUDE SYNTHETIC DATA </t>
  </si>
  <si>
    <t xml:space="preserve">DIDN’T INCLUDE OTHER DAT ANOT SPATIAL OMICS </t>
  </si>
  <si>
    <t>cancer - high grade</t>
  </si>
  <si>
    <t>10.5281/zenodo.4596337.</t>
  </si>
  <si>
    <t>https://zenodo.org/records/4630664</t>
  </si>
  <si>
    <t>endometrio</t>
  </si>
  <si>
    <t>D_SP_IF16</t>
  </si>
  <si>
    <t xml:space="preserve">glioblastoma </t>
  </si>
  <si>
    <t>https://www.sciencedirect.com/science/article/pii/S0092867424003209#sec4</t>
  </si>
  <si>
    <t>D_SP_IMC17</t>
  </si>
  <si>
    <t>10.5281/zenodo.6836991.</t>
  </si>
  <si>
    <t>https://zenodo.org/records/6838169</t>
  </si>
  <si>
    <t>melanoma</t>
  </si>
  <si>
    <t>immunoterapy</t>
  </si>
  <si>
    <t>IF</t>
  </si>
  <si>
    <t>Xiao et al. 2022</t>
  </si>
  <si>
    <t>https://doi.org/10.1158/0008-5472.CAN-22-1190</t>
  </si>
  <si>
    <t>https://www.nature.com/articles/s41588-025-02119-z</t>
  </si>
  <si>
    <t>add to the methods and check</t>
  </si>
  <si>
    <t>A Foundation Model for Spatial Proteomics</t>
  </si>
  <si>
    <t>https://arxiv.org/pdf/2506.03373</t>
  </si>
  <si>
    <t>CellNEST reveals cell–cell relay networks using attention mechanisms on spatial transcriptomics</t>
  </si>
  <si>
    <t>https://www.nature.com/articles/s41592-025-02721-3</t>
  </si>
  <si>
    <t>mNSF: multi-sample non-negative spatial factorization</t>
  </si>
  <si>
    <t>https://genomebiology.biomedcentral.com/articles/10.1186/s13059-025-03601-x#Sec1</t>
  </si>
  <si>
    <t>Tumor Landscape Analysis: 2 An Ecologically Informed Framework to Understand Tumor Microenvironments</t>
  </si>
  <si>
    <t>https://www.biorxiv.org/content/biorxiv/early/2025/04/27/2025.04.22.646608.full.pdf</t>
  </si>
  <si>
    <t>Intracellular spatial transcriptomic analysis toolkit (InSTAnT)</t>
  </si>
  <si>
    <t>https://www.nature.com/articles/s41467-024-49457-w?fromPaywallRec=false</t>
  </si>
  <si>
    <t>Benchmarking computational methods to identify spatially variable genes and peaks</t>
  </si>
  <si>
    <t>https://www.biorxiv.org/content/10.1101/2023.12.02.569717v1.full</t>
  </si>
  <si>
    <t>https://academic.oup.com/bib/article/26/4/bbaf304/8184496</t>
  </si>
  <si>
    <t>spaLLM: enhancing spatial domain analysis in multi-omics data through large language model integration</t>
  </si>
  <si>
    <t>ISH-based</t>
  </si>
  <si>
    <t>organism</t>
  </si>
  <si>
    <t xml:space="preserve">mouse </t>
  </si>
  <si>
    <t>https://doi.org/10.1038/s41592-018-0175-z</t>
  </si>
  <si>
    <t>N genes</t>
  </si>
  <si>
    <t>D_ST_ISH2</t>
  </si>
  <si>
    <t>D_ST_ISH1</t>
  </si>
  <si>
    <t>osmFISH somatosensory cortex</t>
  </si>
  <si>
    <t xml:space="preserve">osmFISH </t>
  </si>
  <si>
    <t>https://datadryad.org/dataset/doi:10.5061/dryad.8t8s248</t>
  </si>
  <si>
    <t>10.1126/science.aau5324</t>
  </si>
  <si>
    <t>MERFISH + scRNAseq hyhotalamic atlas</t>
  </si>
  <si>
    <t>D_ST_ISH3</t>
  </si>
  <si>
    <t>D_ST_ISH4</t>
  </si>
  <si>
    <t>D_ST_ISH5</t>
  </si>
  <si>
    <t>D_ST_ISH6</t>
  </si>
  <si>
    <t>https://doi.org/10.5281/zenodo.3478502</t>
  </si>
  <si>
    <t>https://zenodo.org/records/3478502</t>
  </si>
  <si>
    <t>smFISH</t>
  </si>
  <si>
    <t>D_ST_ISH7</t>
  </si>
  <si>
    <t>Stereo-seq</t>
  </si>
  <si>
    <t>Seq-Scope</t>
  </si>
  <si>
    <t>D_ST_ISH8</t>
  </si>
  <si>
    <t>liver</t>
  </si>
  <si>
    <t>https://www.10xgenomics.com/resources/datasets/ffpe-human-breast-with-pre-designed-panel-1-standard/</t>
  </si>
  <si>
    <t>https://info.vizgen.com/mouse-liver-access</t>
  </si>
  <si>
    <t>IMMUcan</t>
  </si>
  <si>
    <t>https://www.biorxiv.org/content/10.1101/2024.12.16.628597v2.full</t>
  </si>
  <si>
    <t>Neutrophils drive vascular occlusion, tumour necrosis and metastasis</t>
  </si>
  <si>
    <t>https://www.nature.com/articles/s41586-025-09278-3</t>
  </si>
  <si>
    <t>A Whole-Cell Computational Model Predicts Phenotype from Genotype</t>
  </si>
  <si>
    <t>https://www.sciencedirect.com/science/article/pii/S0092867412007763?via%3Dihub</t>
  </si>
  <si>
    <t>spatiomic</t>
  </si>
  <si>
    <t>https://github.com/complextissue/spatiomic</t>
  </si>
  <si>
    <t>https://www.nature.com/articles/s41586-025-09225-2</t>
  </si>
  <si>
    <t>Pathology-oriented multiplexing enables integrative disease mapping</t>
  </si>
  <si>
    <t>important</t>
  </si>
  <si>
    <t>SCALE: Unsupervised Multi-Scale Domain Identification in Spatial Omics Data</t>
  </si>
  <si>
    <t>https://www.biorxiv.org/content/10.1101/2025.05.21.653987v1.full</t>
  </si>
  <si>
    <t>pasta</t>
  </si>
  <si>
    <t>https://arxiv.org/pdf/2412.01561</t>
  </si>
  <si>
    <t>Scalable topic modelling decodes spatial tissue architecture for large-scale multiplexed imaging analysis</t>
  </si>
  <si>
    <t>https://www.nature.com/articles/s41467-025-61821-y</t>
  </si>
  <si>
    <t>tipo UTAG e assim</t>
  </si>
  <si>
    <t>Topological data analysis of spatial patterning in heterogeneous cell populations: clustering and sorting with varying cell-cell adhesion</t>
  </si>
  <si>
    <t>https://www.nature.com/articles/s41540-023-00302-8?fromPaywallRec=false</t>
  </si>
  <si>
    <t>Spatial Transcriptome Mapping of the Desmoplastic Growth Pattern of Colorectal Liver Metastases by In Situ Sequencing Reveals a Biologically Relevant Zonation of the Desmoplastic Rim Open Access</t>
  </si>
  <si>
    <t>https://aacrjournals.org/clincancerres/article/30/19/4517/748558/Spatial-Transcriptome-Mapping-of-the-Desmoplastic</t>
  </si>
  <si>
    <t>A spatiotemporal cancer cell trajectory underlies glioblastoma heterogeneity</t>
  </si>
  <si>
    <t>https://www.biorxiv.org/content/10.1101/2025.05.13.653495v1.full</t>
  </si>
  <si>
    <t>Spatial omics of acute myocardial infarction reveals a novel mode of immune cell infiltration</t>
  </si>
  <si>
    <t>https://www.biorxiv.org/content/10.1101/2024.05.20.594955v1</t>
  </si>
  <si>
    <t>Molecular cartography uncovers evolutionary and microenvironmental dynamics in sporadic colorectal tumors</t>
  </si>
  <si>
    <t>https://www.sciencedirect.com/science/article/pii/S0092867423012229?via%3Dihub</t>
  </si>
  <si>
    <t>https://arxiv.org/pdf/2505.04300</t>
  </si>
  <si>
    <t>Sparsity is All You Need: Rethinking Biological Pathway-Informed Approaches in Deep Learning</t>
  </si>
  <si>
    <t xml:space="preserve">not spatial but important! </t>
  </si>
  <si>
    <t>Comprehensive human proteome profiles across a 50-year lifespan reveal aging trajectories and signatures</t>
  </si>
  <si>
    <t>https://www.cell.com/cell/fulltext/S0092-8674(25)00749-4</t>
  </si>
  <si>
    <t>Simplifying bioinformatics data analysis through conversation</t>
  </si>
  <si>
    <t>https://www.biorxiv.org/content/10.1101/2023.10.29.564479v2.full</t>
  </si>
  <si>
    <t>Characterizing cell-type spatial relationships across length scales in spatially resolved omics data</t>
  </si>
  <si>
    <t>https://www.nature.com/articles/s41467-024-55700-1?fromPaywallRec=false</t>
  </si>
  <si>
    <t>Interpretable niche-based cell‒cell communication inference using multi-view graph neural networks</t>
  </si>
  <si>
    <t>https://www.nature.com/articles/s43588-025-00809-6</t>
  </si>
  <si>
    <t>Statistical modeling and analysis of cell counts from multiplexed imaging data</t>
  </si>
  <si>
    <t>https://www.cell.com/cell-systems/fulltext/S2405-4712(25)00129-2</t>
  </si>
  <si>
    <t>https://github.com/mahmoodlab/KRONOS</t>
  </si>
  <si>
    <t>Defining and benchmarking open problems in single-cell analysis</t>
  </si>
  <si>
    <t>https://www.nature.com/articles/s41587-025-02694-w</t>
  </si>
  <si>
    <t>A benchmark for prediction of transcriptomic responses to chemical perturbations across cell types</t>
  </si>
  <si>
    <t>https://nips.cc/virtual/2024/poster/97655</t>
  </si>
  <si>
    <t>The Spatial Atlas of Human Anatomy (SAHA): A Multimodal Subcellular-Resolution Reference Across Human Organs</t>
  </si>
  <si>
    <t>https://www.biorxiv.org/content/10.1101/2025.06.16.658716v1.full</t>
  </si>
  <si>
    <t>Tracing colorectal malignancy transformation from cell to tissue scale</t>
  </si>
  <si>
    <t>https://www.biorxiv.org/content/10.1101/2025.06.23.660674v1.full</t>
  </si>
  <si>
    <t>RIDDEN: Data-driven inference of receptor activity from transcriptomic data.</t>
  </si>
  <si>
    <t>https://europepmc.org/article/MED/40522999</t>
  </si>
  <si>
    <t>https://www.biorxiv.org/content/10.1101/2025.07.14.664402v1.full</t>
  </si>
  <si>
    <t>Molecularly informed analysis of histopathology images using natural language</t>
  </si>
  <si>
    <t>important reviw</t>
  </si>
  <si>
    <t>https://febs.onlinelibrary.wiley.com/doi/10.1002/1878-0261.70100</t>
  </si>
  <si>
    <t>GraphCompass: spatial metrics for differential analyses of cell organization across conditions</t>
  </si>
  <si>
    <t>https://academic.oup.com/bioinformatics/article/40/Supplement_1/i548/7700863</t>
  </si>
  <si>
    <t>Date(added_to_dataset)</t>
  </si>
  <si>
    <t>to be added automatically</t>
  </si>
  <si>
    <t>METADATA (citations, year, authors, journal,title …</t>
  </si>
  <si>
    <t>spatial_data_category</t>
  </si>
  <si>
    <t>DataID (data_used_in_the_paper)</t>
  </si>
  <si>
    <t>Date(last_change_to_entry)</t>
  </si>
  <si>
    <t>REVIEW_STATUS</t>
  </si>
  <si>
    <t>manual</t>
  </si>
  <si>
    <t>M_PR_1</t>
  </si>
  <si>
    <t>M_PR_2</t>
  </si>
  <si>
    <t>M_PR_3</t>
  </si>
  <si>
    <t>M_PR_4</t>
  </si>
  <si>
    <t>M_PR_5</t>
  </si>
  <si>
    <t>M_PR_6</t>
  </si>
  <si>
    <t>M_SE_8</t>
  </si>
  <si>
    <t>M_SE_9</t>
  </si>
  <si>
    <t>M_SE_10</t>
  </si>
  <si>
    <t>M_SE_11</t>
  </si>
  <si>
    <t>M_SE_12</t>
  </si>
  <si>
    <t>M_SE_13</t>
  </si>
  <si>
    <t>M_SE_14</t>
  </si>
  <si>
    <t>M_SE_15</t>
  </si>
  <si>
    <t>M_SE_16</t>
  </si>
  <si>
    <t>M_SE_17</t>
  </si>
  <si>
    <t>M_SE_18</t>
  </si>
  <si>
    <t>M_SE_19</t>
  </si>
  <si>
    <t>M_SE_20</t>
  </si>
  <si>
    <t>M_SE_21</t>
  </si>
  <si>
    <t>M_SE_22</t>
  </si>
  <si>
    <t>M_SE_23</t>
  </si>
  <si>
    <t>M_SE_24</t>
  </si>
  <si>
    <t>M_PH_25</t>
  </si>
  <si>
    <t>M_PH_26</t>
  </si>
  <si>
    <t>M_PH_27</t>
  </si>
  <si>
    <t>M_PH_28</t>
  </si>
  <si>
    <t>M_NI_29</t>
  </si>
  <si>
    <t>M_NI_30</t>
  </si>
  <si>
    <t>M_NI_31</t>
  </si>
  <si>
    <t>M_NI_32</t>
  </si>
  <si>
    <t>M_NI_33</t>
  </si>
  <si>
    <t>M_NI_34</t>
  </si>
  <si>
    <t>M_NI_35</t>
  </si>
  <si>
    <t>M_NI_36</t>
  </si>
  <si>
    <t>M_NI_37</t>
  </si>
  <si>
    <t>M_NI_38</t>
  </si>
  <si>
    <t>M_NI_39</t>
  </si>
  <si>
    <t>M_NI_40</t>
  </si>
  <si>
    <t>M_NI_41</t>
  </si>
  <si>
    <t>M_NI_42</t>
  </si>
  <si>
    <t>M_NI_43</t>
  </si>
  <si>
    <t>M_NI_44</t>
  </si>
  <si>
    <t>M_SVG_45</t>
  </si>
  <si>
    <t>M_SVG_46</t>
  </si>
  <si>
    <t>M_SVG_47</t>
  </si>
  <si>
    <t>M_SVG_48</t>
  </si>
  <si>
    <t>M_SVG_49</t>
  </si>
  <si>
    <t>M_SVG_50</t>
  </si>
  <si>
    <t>M_SVG_51</t>
  </si>
  <si>
    <t>M_CCC_52</t>
  </si>
  <si>
    <t>M_CCC_53</t>
  </si>
  <si>
    <t>M_CCC_54</t>
  </si>
  <si>
    <t>M_CCC_55</t>
  </si>
  <si>
    <t>M_CCC_56</t>
  </si>
  <si>
    <t>M_CCC_57</t>
  </si>
  <si>
    <t>M_CCC_58</t>
  </si>
  <si>
    <t>M_CCC_59</t>
  </si>
  <si>
    <t>M_CCC_60</t>
  </si>
  <si>
    <t>M_CCC_61</t>
  </si>
  <si>
    <t>M_CCC_62</t>
  </si>
  <si>
    <t>M_CCC_63</t>
  </si>
  <si>
    <t>DOI</t>
  </si>
  <si>
    <t>Supplement to (paper linked to the data)</t>
  </si>
  <si>
    <t>P_ENTRY_ID</t>
  </si>
  <si>
    <t>spatial_data_method</t>
  </si>
  <si>
    <t>data</t>
  </si>
  <si>
    <t>internal_name</t>
  </si>
  <si>
    <t>size_type</t>
  </si>
  <si>
    <t>2026_06_17</t>
  </si>
  <si>
    <t>NA</t>
  </si>
  <si>
    <t xml:space="preserve">  </t>
  </si>
  <si>
    <t>very difficult to find the image. Just channels separated for showing denoising</t>
  </si>
  <si>
    <t>in future add metadata on markers</t>
  </si>
  <si>
    <t>Method_comparison_P_ENTRY_ID</t>
  </si>
  <si>
    <t>https://github.com/drighelli/awesome-spatial-omics</t>
  </si>
  <si>
    <t>Methods_PLACEHOLDER</t>
  </si>
  <si>
    <t>PLACEHOLDER_ENTRY_ID</t>
  </si>
  <si>
    <t>Placeholder - method</t>
  </si>
  <si>
    <t>M_PH_1</t>
  </si>
  <si>
    <t>M_PH_2</t>
  </si>
  <si>
    <t>M_PH_3</t>
  </si>
  <si>
    <t>M_PH_5</t>
  </si>
  <si>
    <t>M_PH_6</t>
  </si>
  <si>
    <t>M_PH_7</t>
  </si>
  <si>
    <t>Noise2void</t>
  </si>
  <si>
    <t>denoising autoencoders</t>
  </si>
  <si>
    <t>M_PR_5, M_PR_4, M_PR_3, M_PH_1, M_PH_2, M_PH_3</t>
  </si>
  <si>
    <t>D_PH_IF_1</t>
  </si>
  <si>
    <t>D_SP_IMC_8, D_PH_IF_1</t>
  </si>
  <si>
    <t>DATA NOT AVAILABLE</t>
  </si>
  <si>
    <t>DAPI, CD4, PD-1, CD8</t>
  </si>
  <si>
    <t>D_PH_IMC_2</t>
  </si>
  <si>
    <t>classical filtering methods, including Gaussian, mean, percentile, non-local means, bilateral, total variation, wavelet, anisotropic diffusion, and BM3D filters. Thresholding (for SABR)</t>
  </si>
  <si>
    <t xml:space="preserve">what todo with this tools like stienbockk and maui that have several methods inside. Some are agglomeration. Some are really different. Decide how to do this. </t>
  </si>
  <si>
    <t>D_SP_simulation</t>
  </si>
  <si>
    <t>CD3; CD4; CD169; CD61</t>
  </si>
  <si>
    <t>M_PR_5, M_PR_2, M_PH_1</t>
  </si>
  <si>
    <t>CD235; MPO; CD14; CD117; CD163; CD71; CD11b; CD31; CD34; pSTAT5; TNFa; IL8; CD4; IL6; pSTAT3; CD90; CD61; CD20; CD8a; TGFb; CD15; pCREB; p65 pS529; RELA; Ki-67; pIKKα/β; CD3; Cleaved casp 3; pERK1/2; pS6; Histone H3; Collagen III; intercalator</t>
  </si>
  <si>
    <t>D_SP_IF_5</t>
  </si>
  <si>
    <t>D_SP_IMC_5; D_SP_IF_5; D_SP_IMC_3;  D_SP_MIBI_2; D_SP_IMC_6; D_SP_simulation</t>
  </si>
  <si>
    <t>Histone H3;H3 (Lys28) trimethylate;Cytokeratin 5;Fibronectin;Cytokeratin 19;Cytokeratin 8/18;Twist;CD68;Keratin 14 (KRT14);SMA;Vimentin;c-Myc;c-erbB-2 - Her2;CD3 epsilon;Histone H3;Slug;Estrogen Receptor Alpha;Rabbit IgG (H+L);Progesterone Receptor A/B;Progesterone Receptor A/B;p53;CD44;CD45;GATA3;CD20;Carbonic Anhydrase IX;E-Cadherin / P-Cadherin;Ki-67;EGFR;p-S6;vWF;CD31;p-mTOR;Cytokeratin 7;pan Cytokeratin;pan Cytokeratin;cleaved PARP;Cleaved Caspase3</t>
  </si>
  <si>
    <t>Basel cohort 289 tumour, 87 healthy breast and 5 liver control images. Zurich The cohort from University Hospital Zurich comprised 72 patients; the samples include four 0.6-mm cores from four different regions of each tumour as previously described</t>
  </si>
  <si>
    <t>C;Na;Si;Ca;Fe;dsDNA;Vimentin;SMA;Background;Collagen-1;HO-1;CD4;CD14;CD56;Foxp3;PD-1;CD31;PD-L1;E-cadherin;Ki67;CD209;CD206;gdTCR;iNOS;CD68;CD36;CD8;CD3;IDO;CD11c;Arginase1;CD163;CD20;CD16;IFNg;HLA-DR;CD11b;CD45;H3K9Ac;Keratin-pan;CD103;MastChyTry;MPO;NaKATPase;HLA-Class-1;Ta;Au</t>
  </si>
  <si>
    <t>Multiplexed In Situ Imaging Mass Cytometry Analysis of the Human Endocrine Pancreas and Immune System in Type 1 Diabetes</t>
  </si>
  <si>
    <t>AP_1</t>
  </si>
  <si>
    <t>AP</t>
  </si>
  <si>
    <t xml:space="preserve">Application Paper </t>
  </si>
  <si>
    <t>Kaestner et al., Cell Metab 2019</t>
  </si>
  <si>
    <t>data ssoaciated</t>
  </si>
  <si>
    <t xml:space="preserve">adicionar alguma coisa sobre a doença que fala? E sobre que métodos usa? </t>
  </si>
  <si>
    <t>HLA-ABC;CD57;CD31;CD14;C-PEPTIDE;NESTIN;GLUCAGON;pan-Keratin;CD11b;CD44;PDX-1;CD45;CD56;β-ACTIN;FOXP3;CD4;NKX6.1;CD68;SOMATOSTATIN;CD20;CD8;CD99;CA2;NF-κB;Granzyme B;Ki67;Collagen type I;CD3;pS6;CD45RO;HLA-DR;PANCREATIC POLYPEPTIDE;GHRELIN</t>
  </si>
  <si>
    <t>AP_2</t>
  </si>
  <si>
    <t>The single-cell pathology landscape of breast cancer</t>
  </si>
  <si>
    <t>Dataset publicly available, but bulk ZIP download currently inaccessible/corrupted via Mendeley; files likely retrievable individually/API. 12 pancreata obtained from donors with clinically diagnosed T1D and 6 pancreata from non-diabetic controls</t>
  </si>
  <si>
    <t xml:space="preserve">? </t>
  </si>
  <si>
    <t>M_SE_7.1</t>
  </si>
  <si>
    <t>Cellpose v1</t>
  </si>
  <si>
    <t>Ilastik</t>
  </si>
  <si>
    <t>RetinaMask</t>
  </si>
  <si>
    <t>M_SE_25</t>
  </si>
  <si>
    <t xml:space="preserve">segmentation general </t>
  </si>
  <si>
    <t>https://doi.org/10.48550/arXiv.1901.03353</t>
  </si>
  <si>
    <t>not specific for cell segmentation</t>
  </si>
  <si>
    <t>M_SE_26</t>
  </si>
  <si>
    <t>https://doi.org/10.1371/journal.pcbi.1005177</t>
  </si>
  <si>
    <t>10.1109/ISBI.2011.5872394</t>
  </si>
  <si>
    <t xml:space="preserve">need to check how to deal with several versions </t>
  </si>
  <si>
    <t>deepcell /featureNET</t>
  </si>
  <si>
    <t>M_SE_27.1</t>
  </si>
  <si>
    <t>M_SE_7.1; M_SE_11; M_SE_25;M_SE_26; M_SE_27</t>
  </si>
  <si>
    <t xml:space="preserve">Mesmer/Deepcell </t>
  </si>
  <si>
    <t xml:space="preserve">TissueNet dataset is composed of a train, val, and test split of size 256*256. the dataset is annotated in the loop. </t>
  </si>
  <si>
    <t xml:space="preserve">CODEX; CyCIF; Vectra; MIBI-TOF; MxIF; IMC </t>
  </si>
  <si>
    <t>several</t>
  </si>
  <si>
    <t>10.1016/j.cell.2018.08.039 </t>
  </si>
  <si>
    <t>MIBI TOF breast cancer</t>
  </si>
  <si>
    <t xml:space="preserve">provavelmente sair daqui. Por o modelo. Mas por o mcmicro como software? </t>
  </si>
  <si>
    <t>nucleAlzer</t>
  </si>
  <si>
    <t>M_SE_28</t>
  </si>
  <si>
    <t>M_SE_7.1; M_SE_8; M_SE_11;M_SE_28</t>
  </si>
  <si>
    <t>10.1016/j.cels.2020.04.003 </t>
  </si>
  <si>
    <t>it also uses   10.1016/j.cell.2018.07.010  as comparison? Not very clear. Also not very clear which method it is</t>
  </si>
  <si>
    <t>2018 Data Science Bowl</t>
  </si>
  <si>
    <t>https://doi.org/10.1038/s41592-019-0612-7</t>
  </si>
  <si>
    <t>The nuclei in the images are derived from a range of organisms including humans, mice, and flies and  in different contexts and states including cultured mono-layers, tissues, and embryos, and cell division, genotoxic stress, and differentiation.</t>
  </si>
  <si>
    <t>Fluorescent; H&amp;E; light microscopy</t>
  </si>
  <si>
    <t>change for N images</t>
  </si>
  <si>
    <t>microscopy</t>
  </si>
  <si>
    <t>BBBC038 </t>
  </si>
  <si>
    <t>https://bbbc.broadinstitute.org/BBBC038</t>
  </si>
  <si>
    <t>D_MICRO_18</t>
  </si>
  <si>
    <t>D_SP_CODEX_4; D_MICRO_18</t>
  </si>
  <si>
    <t>We have used CODEX to image 56 proteins simultaneously in 140 tissue regions from the tumor invasive front of 35 advanced-stage colorectal cancer (CRC) patients (17 patients with Crohn's-like reaction (CLR) - leading to high amount of tertiary lymphoid structures (TLS); and 18 patients with diffuse inflammatory infiltration (DII) and no TLS</t>
  </si>
  <si>
    <t>AP_3_osmfish</t>
  </si>
  <si>
    <t>Spatial organization of the somatosensory cortex revealed by osmFISH</t>
  </si>
  <si>
    <t>Protocol for osmfish</t>
  </si>
  <si>
    <t>spatial transcriptomics</t>
  </si>
  <si>
    <t>?</t>
  </si>
  <si>
    <t xml:space="preserve">Full data upon request </t>
  </si>
  <si>
    <t>Resolution</t>
  </si>
  <si>
    <t>Molecular, spatial, and functional single-cell profiling of the hypothalamic preoptic region</t>
  </si>
  <si>
    <t>AP_4</t>
  </si>
  <si>
    <t>https://doi.org/10.5061/dryad.8t8s248</t>
  </si>
  <si>
    <t>https://figshare.com/articles/dataset/CA1_neuron_cell_typing_results_of_pciSeq_probabilistic_cell_typing_by_in_situ_sequencing_/7150760/1</t>
  </si>
  <si>
    <t>10.1126/science.aat5691</t>
  </si>
  <si>
    <t>Three-dimensional intact-tissue sequencing of single-cell transcriptional states</t>
  </si>
  <si>
    <t>AP_5</t>
  </si>
  <si>
    <t>Protocol for STARMAP</t>
  </si>
  <si>
    <t>osmFISH</t>
  </si>
  <si>
    <t>STARMAP</t>
  </si>
  <si>
    <t>10.1126/science.adn9947</t>
  </si>
  <si>
    <t>10.1126/science.aaw1219</t>
  </si>
  <si>
    <t xml:space="preserve">1020 / 160 ? </t>
  </si>
  <si>
    <t xml:space="preserve">Check acession. 2 datasets one with 1020 other with 160? </t>
  </si>
  <si>
    <t>https://zenodo.org/records/2669683</t>
  </si>
  <si>
    <t>doi.org/10.1038/s41586-019-1049-y</t>
  </si>
  <si>
    <t>seqFISH+</t>
  </si>
  <si>
    <t>Transcriptome-scale super-resolved imaging in tissues by RNA seqFISH+</t>
  </si>
  <si>
    <t>AP_6</t>
  </si>
  <si>
    <t>Protocol for seqFISH+</t>
  </si>
  <si>
    <t xml:space="preserve">brain somatosensory cortex </t>
  </si>
  <si>
    <t>brain preoptic hypothalamus</t>
  </si>
  <si>
    <t>brain CA1 region</t>
  </si>
  <si>
    <t>brain mouse VISp? 3D</t>
  </si>
  <si>
    <t>Genes</t>
  </si>
  <si>
    <t xml:space="preserve">NIH/3T3 cells specific? Or just part of it ? </t>
  </si>
  <si>
    <t>brain subventricular zone and olfactory bulb ; NIH/3T3 cells</t>
  </si>
  <si>
    <t>AP_7</t>
  </si>
  <si>
    <t>doi.org/10.1038/s41587-021-01006-2</t>
  </si>
  <si>
    <t>Integration of spatial and single-cell transcriptomic data elucidates mouse organogenesis</t>
  </si>
  <si>
    <t xml:space="preserve">eventualmente adicionar os metodos que usam? E os dados/ tecnicas </t>
  </si>
  <si>
    <t>embryo</t>
  </si>
  <si>
    <t>raw image data available upon request</t>
  </si>
  <si>
    <t xml:space="preserve">may have more spatial data </t>
  </si>
  <si>
    <t>ileum</t>
  </si>
  <si>
    <t>https://doi.org/10.5061/dryad.jm63xsjb2.</t>
  </si>
  <si>
    <t>1700022I11Rik;1810046K07Rik;5031425F14Rik;5730522E02Rik;Acta2;Adam2;Adamts2;Adamts4;Adra1b;Alk;Ankfn1;Ano4;Aqp4;Asic4;B4galnt2;B4galnt3;Barx2;Bcl11b;Bdnf;Bgn;Blnk;Bmpr1b;Brinp3;C1ql3;C1qtnf7;Cacng5;Calb1;Calb2;Camk2d;Car3;Cbln2;Cbln4;Ccbe1;Ccdc162;Ccdc3;Ccdc80;Ccnb1;Cd14;Cd24a;Cd52;Cdca7;Cdcp1;Cdh12;Cdh13;Cdh20;Cdh9;Ceacam9;Cemip;Chat;Chn2;Chodl;Chrm2;Chrna2;Cldn5;Clrn1;Cnr1;Cntnap5b;Cobll1;Col14a1;Col15a1;Col23a1;Col24a1;Col25a1;Corin;Cplx3;Crhr2;Crispld2;Cspg4;Ctss;Cux2;Cxcl14;Daam2;Dmkn;Dnase1l3;Dscaml1;Egfem1;Egfr;Egln3;Egr2;Elfn1;Enpp6;Epha7;Fam19a2;Fam84b;Fbxl7;Fezf2;Flrt3;Flt1;Fndc7;Fosb;Foxp2;Frem2;Fst;Gad1;Gad2;Gfap;Glra1;Gpc6;Grik1;Grin3a;Grm1;Grm8;Hpse;Hs3st5;Igf2;Igfbp4;Igfbp5;Igfbp6;Ikzf2;Il1rapl2;Il4ra;Inpp4b;Iqgap2;Itgb8;Kcng1;Kcnj8;L3mbtl4;Lama3;Lamp5;Lhx6;Lmo1;Lsp1;Ltf;Luzp2;Lypd1;Lyzl4;March1;Marcksl1;Meis2;Moxd1;Mrc1;Mrgprx2;Muc20;Mup5;Myh14;Ndst4;Nhs;Nkain3;Nnmt;Nos1;Npas1;Npnt;Npsr1;Npy2r;Nr2f2;Nr4a1;Nr4a2;Ntng2;Nxph1;Nxph2;Nxph4;Olah;Olfm3;Opalin;Oprk1;Osr1;Otof;Parm1;Pcdh8;Pde11a;Pdgfc;Pdgfra;Pdlim5;Penk;Phactr2;Plch1;Plcxd3;Pld5;Plekhg3;Pou3f1;Pou3f3;Pou6f2;Prdm8;Prok2;Prokr2;Prox1;Prr16;Prss12;Prss23;Ptger3;Ptprk;Ptprm;Ptprt;Ptpru;Pvalb;Pxdc1;Rab3b;Ramp1;Reln;Rerg;Rfx3;Rgs5;Rgs6;Rnf152;Ror1;Rorb;Rprml;Rspo1;Rxfp1;Rxfp2;Satb2;Scgn;Sema3e;Sema5a;Serpinf1;Sertm1;Sgcd;Shisa9;Slc17a6;Slc17a7;Slc17a8;Slc25a13;Slc30a3;Slc32a1;Slc44a5;Slco5a1;Sncg;Sox10;Sox6;Sp8;Spon1;Sst;St6galnac5;Sulf1;Sulf2;Syndig1;Syt10;Syt6;Tac2;Tbc1d4;Tcap;Teddm3;Tenm3;Th;Thbs2;Thsd7a;Timp3;Tmem163;Tmtc2;Tnfaip6;Tox;Trp53i11;Trpc4;Trpc6;Tshz2;Tunar;Ubash3b;Unc13c;Unc5b;Unc5d;Ust;Vip;Vipr2;Vtn;Vwc2;Wipf3;Wnt7b;Zfp804b</t>
  </si>
  <si>
    <t xml:space="preserve">From Baysor. Extend MERFISH to incorporate immuno-staining of cell boundaries. Genes contain more genes than the report ones, probably because of control, duplicates and low quality genes. </t>
  </si>
  <si>
    <t xml:space="preserve">they are one but with z planes … how to put this here? </t>
  </si>
  <si>
    <t>D_ST_ISH1; D_ST_ISH2; D_ST_ISH3; D_ST_ISH4; D_ST_ISH5; D_ST_ISH6; D_ST_ISH7; D_ST_ISH8</t>
  </si>
  <si>
    <t>VISp</t>
  </si>
  <si>
    <t> https://github.com/spacetx-spacejam/data.</t>
  </si>
  <si>
    <t>Fezf2;Pde1a;Rorb;Kcnk2;Cux2;Alcam;Gad2;Foxp2;Galnt14;Thsd7a;Sema3e;Sez6;Lhx6;Chodl;Grin3a;Satb2;Mpped1;Pvalb;Sv2c;Kcnip4;Prox1;Parm1</t>
  </si>
  <si>
    <t>Allen smFISH spacejam</t>
  </si>
  <si>
    <t>doi.org/10.1038/s41598-023-36638-8</t>
  </si>
  <si>
    <t>Reference-based cell type matching of in situ image-based spatial transcriptomics data on primary visual cortex of mouse brain</t>
  </si>
  <si>
    <t>Hackaton spacejam segmentation?? Where to put it? ??</t>
  </si>
  <si>
    <t>17 primary coronal section slices</t>
  </si>
  <si>
    <t xml:space="preserve">demo ? </t>
  </si>
  <si>
    <t xml:space="preserve">all 17 slices are serial coronal cuts taken from the primary visual cortex (VISp) of a single, adult male C57BL/6J mouse.  can track how the 3D structures and layered cell populations. Part of hackaton </t>
  </si>
  <si>
    <t>Transcript-Informed Models</t>
  </si>
  <si>
    <t>Deep Learning Image Models</t>
  </si>
  <si>
    <t xml:space="preserve">add spacejam hackaton data </t>
  </si>
  <si>
    <t>Cell segmentation</t>
  </si>
  <si>
    <t>Watershed</t>
  </si>
  <si>
    <t xml:space="preserve">it compares to the original segmentations from the original papers </t>
  </si>
  <si>
    <t>RNA2seg</t>
  </si>
  <si>
    <t>doi.org/10.1186/s13059-025-03908-9</t>
  </si>
  <si>
    <t>M_SE_29</t>
  </si>
  <si>
    <t>doi.org/10.1101/2025.03.14.643160</t>
  </si>
  <si>
    <t>Segger</t>
  </si>
  <si>
    <t xml:space="preserve">Graph based segmentation?? </t>
  </si>
  <si>
    <t>Moffitt et al., 2018</t>
  </si>
  <si>
    <t>D_ST_ISH9</t>
  </si>
  <si>
    <t>D_ST_ISH1;  D_ST_ISH2; D_ST_ISH9</t>
  </si>
  <si>
    <t>primary visual cortex (VISp) </t>
  </si>
  <si>
    <t xml:space="preserve">part of the spaceTX consortium . Is it the same as ISH8? </t>
  </si>
  <si>
    <t xml:space="preserve">M_PH_5; M_PH_6 segmentations form the original papers </t>
  </si>
  <si>
    <t xml:space="preserve"> segmentations from the original papers </t>
  </si>
  <si>
    <t>Compare to original publication segmentations</t>
  </si>
  <si>
    <t>GSE266556</t>
  </si>
  <si>
    <t>10.1038/s41592-024-02415-2</t>
  </si>
  <si>
    <t>https://www.ncbi.nlm.nih.gov/geo/query/acc.cgi?acc=GSE266556</t>
  </si>
  <si>
    <t>https://doi.org/10.5281/zenodo.13118097</t>
  </si>
  <si>
    <t>biopsy-induced physical wounding</t>
  </si>
  <si>
    <t>D_ST_ISS10</t>
  </si>
  <si>
    <t>ISS-based</t>
  </si>
  <si>
    <t>ISS</t>
  </si>
  <si>
    <t>D_ST_ISS11</t>
  </si>
  <si>
    <t>https://db.cngb.org/stomics/mosta/download/</t>
  </si>
  <si>
    <t>The Stereo-seq pixel-level expression data were downloaded from the ‘Bin1 matrix’ section in the STOmicsDB (https://db.cngb.org/stomics/mosta/download/) for the embryo E16.5_E1S3. ‘Cell_bin’ matrix was also downloaded to obtain the raw expression data. The published annotations of segmented cells were obtained from the ‘Embryo data’ section (E16.5_E1S3_cell_bin.h5ad).</t>
  </si>
  <si>
    <t>they downloaded from a database. I think the original is https://www.cell.com/cell/fulltext/S0092-8674(22)00399-3</t>
  </si>
  <si>
    <t>human</t>
  </si>
  <si>
    <t xml:space="preserve">xenium standard panel </t>
  </si>
  <si>
    <t>ABCC11;ACTA2;ACTG2;ADAM9;ADGRE5;ADH1B;ADIPOQ;AGR3;AIF1;AKR1C1;AKR1C3;ALDH1A3;ANGPT2;ANKRD28;ANKRD29;ANKRD30A;APOBEC3A;APOBEC3B;APOC1;AQP1;AQP3;AR;AVPR1A;BACE2;BANK1;BASP1;C15orf48;C1QA;C1QC;C2orf42;C5orf46;C6orf132;CAV1;CAVIN2;CCDC6;CCDC80;CCL5;CCL8;CCND1;CCPG1;CCR7;CD14;CD163;CD19;CD247;CD27;CD274;CD3E;CD3G;CD4;CD68;CD69;CD79A;CD79B;CD80;CD83;CD86;CD8A;CD9;CD93;CDC42EP1;CDH1;CEACAM6;CEACAM8;CENPF;CLEC14A;CLEC9A;CLECL1;CLIC6;CPA3;CRISPLD2;CTH;CTLA4;CTSG;CTTN;CX3CR1;CXCL12;CXCL16;CXCL5;CXCR4;CYTIP;DAPK3;DMKN;DNAAF1;DNTTIP1;DPT;DSC2;DSP;DST;DUSP2;DUSP5;EGFL7;EGFR;EIF4EBP1;ENAH;EPCAM;ERBB2;ERN1;ESM1;ESR1;FAM107B;FAM49A;FASN;FBLN1;FCER1A;FCER1G;FCGR3A;FGL2;FLNB;FOXA1;FOXC2;FOXP3;FSTL3;GATA3;GJB2;GLIPR1;GNLY;GPR183;GZMA;GZMK;HAVCR2;HMGA1;HOOK2;HOXD8;HOXD9;HPX;IGF1;IGSF6;IL2RA;IL2RG;IL3RA;IL7R;ITGAM;ITGAX;ITM2C;JUP;KARS;KDR;KIT;KLF5;KLRB1;KLRC1;KLRD1;KLRF1;KRT14;KRT23;KRT5;KRT6B;KRT7;KRT8;LAG3;LARS;LDHB;LGALSL;LILRA4;LPL;LPXN;LRRC15;LTB;LUM;LY86;LYPD3;LYZ;MAP3K8;MDM2;MKI67;MLPH;MMP1;MMP12;MMP2;MMRN2;MNDA;MRC1;MS4A1;MUC6;MYBPC1;MYH11;MYLK;MYO5B;MZB1;NARS;NCAM1;NDUFA4L2;NKG7;NOSTRIN;OCIAD2;OPRPN;OXTR;PCLAF;PDCD1;PDCD1LG2;PDE4A;PDGFRA;PDGFRB;PDK4;PECAM1;PELI1;PGR;PIGR;PIM1;PLD4;POSTN;PPARG;PRDM1;PRF1;PTGDS;PTN;PTPRC;PTRHD1;QARS;RAB30;RAMP2;RAPGEF3;RHOH;RORC;RTKN2;RUNX1;S100A14;S100A4;S100A8;SCD;SCGB2A1;SDC4;SEC11C;SEC24A;SELL;SERHL2;SERPINA3;SERPINB9;SFRP1;SFRP4;SH3YL1;SLAMF1;SLAMF7;SLC25A37;SLC5A6;SMAP2;SMS;SNAI1;SOX17;SOX18;SPIB;SQLE;SRPK1;SSTR2;STC1;SVIL;TAC1;TACSTD2;TCEAL7;TCF4;TCF7;TCIM;TCL1A;TENT5C;TFAP2A;THAP2;TIFA;TIGIT;TIMP4;TMEM147;TNFRSF17;TOMM7;TOP2A;TPD52;TPSAB1;TRAC;TRAF4;TRAPPC3;TRIB1;TUBA4A;TUBB2B;UCP1;USP53;VOPP1;VWF;WARS;ZEB1;ZEB2;ZNF562</t>
  </si>
  <si>
    <t xml:space="preserve">Infiltrating ductal carcinoma, Ductal carcinoma in situ;  Invasive lobular carcinoma </t>
  </si>
  <si>
    <t>H&amp;E</t>
  </si>
  <si>
    <t>healthy/cancer</t>
  </si>
  <si>
    <r>
      <t xml:space="preserve">Adult human healthy lung section ; </t>
    </r>
    <r>
      <rPr>
        <b/>
        <sz val="11"/>
        <color theme="1"/>
        <rFont val="Aptos Narrow"/>
        <family val="2"/>
        <scheme val="minor"/>
      </rPr>
      <t>Adult human lung with Invasive AdenoCarcinoma</t>
    </r>
  </si>
  <si>
    <t>Xenium Human Lung Gene Expression Panel </t>
  </si>
  <si>
    <t>ACE;ACE2;ACKR1;ADAM17;ADAM28;ADAMTS1;ADGRL4;AGER;AGR3;AIF1;ANPEP;APOD;APOLD1;AQP9;AREG;ARL14;ASCL1;ASCL2;ASCL3;ATP1B1;BAIAP2L1;BANK1;BCAS1;BMX;CA4;CCDC78;CCNA1;CCNB2;CCR7;CD14;CD163;CD19;CD1A;CD1C;CD2;CD24;CD247;CD27;CD274;CD28;CD300E;CD34;CD38;CD3D;CD3E;CD4;CD40;CD40LG;CD68;CD70;CD79A;CD80;CD86;CD8A;CD8B;CDH1;CDK1;CENPF;CFB;CFTR;CHIT1;CLDN5;CLEC10A;CLEC12A;CLEC4E;CNN1;COL5A2;COL8A1;CP;CSPG4;CSTA;CTLA4;CTSL;CTTN;CXCL10;CXCL13;CXCL5;CXCL6;CXCL9;CXCR5;CXCR6;CYP2F1;DAPK2;DCLK1;DES;DGKG;DIRAS3;DMBT1;DNAJB9;DPP6;DUOX1;ECSCR;EGFR;EHF;ELF3;ENAH;EPCAM;ETV5;F3;FABP3;FAM184A;FAS;FASLG;FASN;FBN1;FCER1A;FCGR1A;FCGR3A;FCMR;FCN1;FCN3;FGFBP2;FGFR4;FKBP11;FOXI1;FOXJ1;FOXP3;FSCN1;GJA5;GKN2;GLCCI1;GLIPR2;GNG11;GPI;GPR171;GPR183;GPR34;GPX2;GZMA;GZMB;GZMK;HAVCR2;HIF1A;HIGD1B;HMGCS1;HP;HPGDS;ICA1;IGF1;IGFBP3;IL1RL1;IL7R;IQGAP2;IRF8;ITGAM;ITGB4;KCNK3;KDR;KIT;KLF5;KLK11;KLRB1;KLRC1;KLRD1;KRT15;KRT7;LAG3;LAMC3;LCK;LGALS3BP;LGR5;LGR6;LILRA4;LILRA5;LILRB2;LILRB4;LMOD1;LTBP2;LTF;LYVE1;MALL;MAP7;MARCO;MCEMP1;MEDAG;MET;MFAP5;MIS18BP1;MKI67;MMP12;MMP9;MMRN1;MPEG1;MS4A1;MS4A2;MS4A4A;MTUS1;MUC1;MUC5B;MYC;MYH11;MYO6;MZB1;NCEH1;NFKB1;NID1;NKG7;NTN4;NTRK2;OTUD7B;P2RX1;PAMR1;PCNA;PCOLCE2;PDCD1;PDCD1LG2;PDGFRA;PDGFRB;PDPN;PEBP4;PI3;PIM1;PIM2;PLA2G2A;PLA2G4F;PLA2G7;PLN;PLVAP;POU2AF1;PROX1;PTGS1;RAMP2;RARRES1;RBP4;RERGL;RETN;RGS5;RND1;RUNX3;S100A12;S100A7;S100B;SAMD3;SCEL;SEC11C;SELE;SELL;SELP;SEMA3B;SEMA3C;SERPINA3;SFRP2;SFTA2;SFTPD;SHANK3;SLC15A2;SLC18A2;SLC1A3;SLC2A1;SLC7A11;SLIT3;SMIM24;SOX2;SOX9;SPDEF;SPIB;STAT4;STC1;STEAP4;SVEP1;SYK;TACSTD2;TC2N;TCL1A;THBS2;THY1;TM4SF18;TM4SF4;TMC5;TMEM100;TMPRSS2;TNFRSF13B;TNFRSF13C;TNFRSF17;TNFRSF18;TOP2A;TP63;TP73;TREM2;TRPC6;TSPAN8;UBE2C;UPK1B;UPK3B;VSIG4;VWF;WFS1;WNT2;WT1</t>
  </si>
  <si>
    <t xml:space="preserve">Xenium panel. It has what is targeting the genes. Interesting in the future? </t>
  </si>
  <si>
    <t xml:space="preserve">check all the data in Xenium available? </t>
  </si>
  <si>
    <t>Xenium demo data breast</t>
  </si>
  <si>
    <t>Xenium demo data lung</t>
  </si>
  <si>
    <t>https://www.10xgenomics.com/resources/datasets/xenium-human-lung-preview-data-1-standard</t>
  </si>
  <si>
    <t xml:space="preserve">yes ? Add here instead if it has DAPI, if it has IF, f it has H&amp;E what other modalities supporting </t>
  </si>
  <si>
    <t>MERSCOPE</t>
  </si>
  <si>
    <t>D_ST_ISH14</t>
  </si>
  <si>
    <t xml:space="preserve">Vizgen MERSCOPE demo liver data </t>
  </si>
  <si>
    <t>DAPI images</t>
  </si>
  <si>
    <t>D_ST_XEN12</t>
  </si>
  <si>
    <t>D_ST_XEN13</t>
  </si>
  <si>
    <t>D_ST_ISS10; D_ST_ISS11; D_ST_XEN12; D_ST_XEN13; D_ST_ISH14</t>
  </si>
  <si>
    <t>M_SE_30</t>
  </si>
  <si>
    <t>M_SE_16; M_NI_37</t>
  </si>
  <si>
    <t xml:space="preserve">don't understand the comparison with GraphST </t>
  </si>
  <si>
    <t>it’s a mix of applicationa nd method. As is the first one describing the neighborhood</t>
  </si>
  <si>
    <t xml:space="preserve">supporting data available </t>
  </si>
  <si>
    <t>mudar estes numeros. Nao devia ser 25 …</t>
  </si>
  <si>
    <t>CellCharter</t>
  </si>
  <si>
    <t>https://doi.org/10.1038/s41588-023-01588-4</t>
  </si>
  <si>
    <t>M_NI_64</t>
  </si>
  <si>
    <t>STACI</t>
  </si>
  <si>
    <t>doi.org/10.1038/s41467-022-35233-1</t>
  </si>
  <si>
    <t>M_NI_65</t>
  </si>
  <si>
    <t>doi.org/10.1186/s13059-022-02692-0</t>
  </si>
  <si>
    <t>DeepLinc</t>
  </si>
  <si>
    <t>M_NI_66</t>
  </si>
  <si>
    <t>M_NI_37;M_NI_39;M_NI_64; M_NI_65;M_NI_66</t>
  </si>
  <si>
    <t>Slide-seqV2</t>
  </si>
  <si>
    <t>doi.org/10.1038/s41587-020-0739-1</t>
  </si>
  <si>
    <t>D_ST_CAP15</t>
  </si>
  <si>
    <t>D_ST_simulation</t>
  </si>
  <si>
    <t>doi.org/10.1186/s13059-023-02879-z</t>
  </si>
  <si>
    <t xml:space="preserve">pode ser interessante este DOI, mas n é especifico todas as entradas para siulação </t>
  </si>
  <si>
    <t>D_ST_COSM16</t>
  </si>
  <si>
    <t>AP_8</t>
  </si>
  <si>
    <t>Highly sensitive spatial transcriptomics at near-cellular resolution with Slide-seqV2</t>
  </si>
  <si>
    <t>https://singlecell.broadinstitute.org/single_cell/study/SCP815/sensitive-spatial-genome-wide-expression-profiling-at-cellular-resolution#study-summary</t>
  </si>
  <si>
    <t>dataset contain log counts</t>
  </si>
  <si>
    <t>brain hippocampus</t>
  </si>
  <si>
    <t>NSCLC</t>
  </si>
  <si>
    <t>CosMx</t>
  </si>
  <si>
    <t>http:// nanostring.com/CosMx-dataset</t>
  </si>
  <si>
    <t>doi.org/10.1038/s41587-022-01483-z</t>
  </si>
  <si>
    <t>AP_9</t>
  </si>
  <si>
    <t>High-plex imaging of RNA and proteins at subcellular resolution in fixed tissue by spatial molecular imaging</t>
  </si>
  <si>
    <t xml:space="preserve">Fluorescent? Protein? Don’t know </t>
  </si>
  <si>
    <t>AATK;ABL1;ABL2;ACE;ACE2;ACKR1;ACKR3;ACKR4;ACTA2;ACTG2;ACVR1;ACVR1B;ACVR2A;ACVRL1;ADGRA2;ADGRA3;ADGRB2;ADGRB3;ADGRD1;ADGRE1;ADGRE2;ADGRE5;ADGRF1;ADGRF3;ADGRF4;ADGRF5;ADGRG1;ADGRG2;ADGRG3;ADGRG5;ADGRG6;ADGRL1;ADGRL2;ADGRL4;ADGRV1;ADIPOQ;ADIRF;ADM2;ADORA2A;AGR2;AHI1;AHR;AKT1;ALCAM;ANGPT1;ANGPT2;ANGPT4;ANGPTL1;ANXA1;ANXA2;ANXA4;APOA1;APOB;APOD;APP;AQP3;AR;AREG;ARF1;ARG1;ARHGDIB;ARTN;ATF3;ATG10;ATG12;ATG5;ATM;ATR;AXL;AZGP1;AZU1;B2M;B3GNT7;BAG3;BATF3;BAX;BCL2;BCL2L1;BECN1;BEST1;BGN;BID;BIRC5;BMP1;BMP2;BMP3;BMP4;BMP5;BMP6;BMP7;BMPR1A;BMPR2;BMX;BRCA1;BST1;BST2;BTG1;BTK;C11orf96;C1QA;C1QB;C1QC;C5AR2;C9orf16;CALB1;CALD1;CALM1;CALM2;CALM3;CAMP;CASP3;CASP8;CASR;CAV1;CCL11;CCL13;CCL15;CCL18;CCL19;CCL2;CCL20;CCL21;CCL23;CCL26;CCL28;CCL3;CCL3L3;CCL4;CCL4L2;CCL5;CCL7;CCL8;CCND1;CCR1;CCR10;CCR2;CCR5;CCR7;CCRL2;CD14;CD163;CD164;CD19;CD2;CD209;CD24;CD27;CD274;CD276;CD28;CD300A;CD33;CD34;CD36;CD37;CD38;CD3D;CD3E;CD3G;CD4;CD40;CD40LG;CD44;CD47;CD48;CD52;CD53;CD55;CD58;CD59;CD5L;CD63;CD68;CD69;CD70;CD74;CD79A;CD80;CD81;CD83;CD84;CD86;CD8A;CD8B;CD9;CDH1;CDH11;CDH5;CDKN1A;CDKN3;CEACAM1;CEACAM6;CELSR1;CELSR2;CENPF;CFD;CFLAR;CHEK1;CHEK2;CHGA;CHI3L1;CIDEA;CIITA;CLCF1;CLDN4;CLEC10A;CLEC12A;CLEC14A;CLEC1A;CLEC2B;CLEC2D;CLEC4A;CLEC4D;CLEC4E;CLEC5A;CLEC7A;CLOCK;CLU;CMKLR1;CNTFR;COL11A1;COL12A1;COL14A1;COL15A1;COL16A1;COL17A1;COL18A1;COL1A1;COL1A2;COL21A1;COL27A1;COL3A1;COL4A1;COL4A2;COL4A5;COL5A1;COL5A2;COL5A3;COL6A1;COL6A2;COL6A3;COL8A1;COL9A1;COL9A2;COL9A3;COTL1;CPA3;CPB1;CRIP1;CRP;CRYAB;CSF1;CSF1R;CSF2;CSF2RA;CSF2RB;CSF3;CSF3R;CSHL1;CSK;CST7;CTLA4;CTNNB1;CTSG;CTSW;CUZD1;CX3CL1;CX3CR1;CXCL1;CXCL10;CXCL12;CXCL14;CXCL16;CXCL17;CXCL2;CXCL3;CXCL5;CXCL6;CXCL8;CXCL9;CXCR1;CXCR2;CXCR3;CXCR4;CXCR5;CXCR6;CYP19A1;CYP1B1;CYSTM1;CYTOR;DCN;DDC;DDIT3;DDR1;DDR2;DDX58;DHRS2;DLL1;DMBT1;DNMT1;DNMT3A;DNTT;DPP4;DST;DUSP1;DUSP2;DUSP4;DUSP5;DUSP6;EFNA1;EFNA4;EFNA5;EFNB1;EFNB2;EFNB3;EGF;EGFR;EIF5A;ELANE;EMP3;ENG;ENTPD1;EOMES;EPCAM;EPHA2;EPHA3;EPHA4;EPHA7;EPHB2;EPHB3;EPHB4;EPHB6;EPOR;ERBB2;ERBB3;ESAM;ESR1;ETS1;ETV4;ETV5;EZH2;EZR;FABP4;FABP5;FAS;FASLG;FASN;FCER1G;FCGBP;FCGR3A;FCRLA;FES;FFAR2;FFAR3;FFAR4;FGF1;FGF12;FGF13;FGF18;FGF2;FGF7;FGF9;FGFR1;FGFR2;FGFR3;FGG;FGR;FKBP11;FLT1;FLT3LG;FN1;FOS;FOXF1;FOXP3;FPR1;FYB1;FYN;FZD1;FZD3;FZD4;FZD5;FZD6;FZD7;FZD8;G6PC2;G6PD;GADD45B;GAS6;GATA3;GC;GCG;GDF10;GDF15;GDF3;GDF6;GDF9;GDNF;GLUD1;GLUL;GNLY;GPBAR1;GPER1;GPNMB;GPR183;GPX1;GPX3;GSN;GSTP1;GZMA;GZMB;GZMH;GZMK;H2AZ1;H4C3;HAVCR2;HBA1;HBB;HCAR2;HCAR3;HCK;HCST;HDAC1;HDAC11;HDAC3;HDAC4;HDAC5;HGF;HIF1A;HILPDA;HLA-A;HLA-B;HLA-C;HLA-DPA1;HLA-DPB1;HLA-DQA1;HLA-DQB1;HLA-DRA;HLA-DRB1;HLA-DRB5;HLA-E;HMGB2;HMGN2;HPGDS;HSD17B2;HSD3B2;HSP90AA1;HSP90AB1;HSP90B1;HSPA1A;HSPA1B;HSPB1;HTT;IAPP;ICAM1;ICAM2;ICAM3;ICOS;ICOSLG;IDO1;IER3;IFI27;IFIH1;IFITM1;IFITM3;IFNA1;IFNAR1;IFNAR2;IFNB1;IFNG;IFNGR1;IFNGR2;IFNL2;IFNL3;IGF1;IGF1R;IGF2;IGF2R;IGFBP3;IGFBP5;IGFBP6;IGFBP7;IGHA1;IGHD;IGHG1;IGHG2;IGHM;IGKC;IL10;IL10RA;IL10RB;IL11;IL11RA;IL12A;IL12B;IL12RB1;IL12RB2;IL13RA1;IL15;IL15RA;IL16;IL17A;IL17B;IL17D;IL17RA;IL17RB;IL17RE;IL18;IL18R1;IL1A;IL1B;IL1R1;IL1R2;IL1RAP;IL1RL1;IL1RN;IL2;IL20;IL20RA;IL22RA1;IL23A;IL24;IL27RA;IL2RA;IL2RB;IL2RG;IL32;IL33;IL34;IL36G;IL3RA;IL4R;IL6;IL6R;IL6ST;IL7;IL7R;INHA;INHBA;INHBB;INS;INSR;IRF4;ITGA1;ITGA2;ITGA3;ITGA5;ITGA6;ITGA9;ITGAE;ITGAL;ITGAM;ITGAV;ITGAX;ITGB1;ITGB2;ITGB4;ITGB5;ITGB6;ITGB8;ITK;ITM2A;JAG1;JAK1;JAK2;JCHAIN;JUN;JUNB;KDR;KIT;KITLG;KLF2;KLK3;KLRB1;KLRK1;KRAS;KRT1;KRT10;KRT13;KRT14;KRT15;KRT16;KRT17;KRT18;KRT19;KRT20;KRT23;KRT24;KRT4;KRT5;KRT6A;KRT6B;KRT6C;KRT7;KRT8;KRT80;KRT86;LAG3;LAIR1;LAMP2;LAMP3;LCN2;LDLR;LEFTY1;LEFTY2;LEP;LGALS1;LGALS3;LGALS3BP;LGALS9;LIF;LIFR;LINC02446;LMNA;LPAR5;LTB;LTBR;LTF;LUM;LY6D;LY75;LYN;LYZ;MAF;MALAT1;MAML2;MAP1LC3B;MAPK13;MAPK14;MARCO;MECOM;MEG3;MERTK;MET;MGP;MIF;MKI67;MMP1;MMP10;MMP12;MMP14;MMP16;MMP19;MMP2;MMP3;MMP7;MMP8;MMP9;MPO;MRC1;MRC2;MS4A1;MS4A4A;MSMB;MST1R;MT1X;MT2A;MTOR;MTRNR2L1;MXRA8;MYC;MYH11;MYL9;MZB1;MZT2A;NANOG;NCR1;NDRG1;NEAT1;NFKB1;NFKBIA;NGFR;NKG7;NLRC4;NLRC5;NLRP1;NLRP2;NLRP3;NOD2;NOSIP;NOTCH1;NOTCH2;NOTCH3;NPPB;NPPC;NPR1;NPR2;NPR3;NR1H2;NR1H3;NR1H4;NR3C1;NRG1;NRG4;NRIP3;NRXN1;NRXN3;NTRK2;OLFM4;OLR1;OSM;OSMR;OXER1;OXGR1;P2RX5;P2RY12;PARP1;PCNA;PDCD1;PDCD1LG2;PDGFA;PDGFB;PDGFC;PDGFD;PDGFRA;PDGFRB;PECAM1;PF4;PGF;PGR;PHLDA2;PIGR;PLA2R1;PLAC8;PNOC;POU5F1;PPARA;PPARD;PPARG;PPBP;PRF1;PROK2;PROKR1;PRSS2;PSAP;PSCA;PTGDR2;PTGDS;PTGES;PTGES2;PTGES3;PTGIS;PTGS1;PTGS2;PTHLH;PTK2;PTK6;PTPRC;PTPRCAP;PTTG1;QRFPR;RAC1;RAC2;RAD51;RAMP1;RAMP2;RAMP3;RARA;RARB;RARG;RARRES1;RARRES2;RB1;RBPJ;REG1A;RELA;RELT;RGCC;RGS1;RGS2;RGS5;RNF43;ROR1;RORA;RPL21;RPL22;RPL32;RPL34;RPL37;RPS4Y1;RSPO1;RSPO2;RSPO3;RUNX3;RXRA;RXRB;RYK;S100A10;S100A2;S100A4;S100A6;S100A8;S100A9;S100B;S100P;SAA1;SAA2;SAT1;SCG5;SCGB3A1;SEC23A;SEC61G;SELENOP;SELL;SELPLG;SERPINA1;SERPINA3;SERPINB5;SERPINH1;SFN;SIGIRR;SLC2A1;SLC2A4;SLC40A1;SLPI;SMAD2;SMAD3;SMAD4;SMARCB1;SMO;SNAI1;SNAI2;SOD1;SOD2;SOSTDC1;SOX2;SOX4;SOX9;SPARCL1;SPINK1;SPOCK2;SPP1;SPRY2;SPRY4;SQSTM1;SRC;SREBF1;SRGN;SST;ST6GAL1;ST6GALNAC3;STAT1;STAT3;STAT4;STAT5A;STAT5B;STAT6;STMN1;SUCNR1;SYK;TACSTD2;TAGLN;TAP1;TAP2;TBX21;TCL1A;TEK;TFEB;TGFB1;TGFB2;TGFB3;TGFBR1;TGFBR2;THBS1;THBS2;TIE1;TIGIT;TIMP1;TLR1;TLR2;TLR3;TLR4;TLR5;TLR7;TLR8;TM4SF1;TNF;TNFAIP6;TNFRSF10A;TNFRSF10B;TNFRSF10D;TNFRSF11A;TNFRSF11B;TNFRSF12A;TNFRSF13B;TNFRSF14;TNFRSF17;TNFRSF18;TNFRSF19;TNFRSF1A;TNFRSF1B;TNFRSF21;TNFRSF4;TNFRSF9;TNFSF10;TNFSF12;TNFSF13B;TNFSF14;TNFSF15;TNFSF18;TNFSF4;TNFSF8;TNFSF9;TOP2A;TOX;TP53;TPM1;TPM2;TPSAB1;TPSB2;TSC22D1;TSHZ2;TSLP;TTR;TUBB;TUBB4B;TWIST1;TWIST2;TXK;TYK2;TYMS;TYROBP;UBE2C;UCP1;UPK3A;VCAM1;VCAN;VEGFA;VEGFB;VEGFC;VEGFD;VHL;VIM;VPREB3;VSIR;VTN;VWF;WIF1;WNT10B;WNT11;WNT2;WNT2B;WNT3;WNT5A;WNT5B;WNT7A;WNT7B;WNT9A;XBP1;XCL1;XCL2;YBX3;YES1;ZFP36;IFIT1;IRF3;MX1;OAS1;OAS2;OAS3;OASL</t>
  </si>
  <si>
    <t>prototype of CosMx SMI dataset</t>
  </si>
  <si>
    <t>D_ST_XEN14</t>
  </si>
  <si>
    <t>High resolution mapping of the tumor microenvironment using integrated single-cell, spatial and in situ analysis</t>
  </si>
  <si>
    <t>AP_10</t>
  </si>
  <si>
    <t>doi.org/10.1038/s41467-023-43458-x</t>
  </si>
  <si>
    <t>https://www.10xgenomics.com/products/xenium-in-situ/preview-dataset-human-breast</t>
  </si>
  <si>
    <t>post-Xenium IF / H&amp;E images</t>
  </si>
  <si>
    <t xml:space="preserve">D_ST_XEN12 acho que sao o mesmo!!!!! </t>
  </si>
  <si>
    <t>STARmap PLUS</t>
  </si>
  <si>
    <t>https://zenodo.org/records/8327576</t>
  </si>
  <si>
    <t>doi.org/10.1038/s41586-023-06569-5</t>
  </si>
  <si>
    <t>AP_11</t>
  </si>
  <si>
    <t>Spatial atlas of the mouse central nervous system at molecular resolution</t>
  </si>
  <si>
    <t>D_ST_ISS18</t>
  </si>
  <si>
    <t>D_ST_XEN17</t>
  </si>
  <si>
    <t xml:space="preserve">brain CNS </t>
  </si>
  <si>
    <t>D_ST_ISH19</t>
  </si>
  <si>
    <t>https://cellxgene.cziscience.com/collections/0cca8620-8dee-45d0-aef5-23f032a5cf09</t>
  </si>
  <si>
    <t>whole brain</t>
  </si>
  <si>
    <t>10.1038/s41586-023-06808-9</t>
  </si>
  <si>
    <t>Molecularly defined and spatially resolved cell atlas of the whole mouse brain</t>
  </si>
  <si>
    <t>AP_12</t>
  </si>
  <si>
    <t xml:space="preserve">spatial ATAC–RNA-seq &amp; Spatial CUT&amp;Tag–RNA-seq </t>
  </si>
  <si>
    <r>
      <t xml:space="preserve">spatial ATAC–RNA-seq mouse brain dataset </t>
    </r>
    <r>
      <rPr>
        <b/>
        <sz val="11"/>
        <color theme="1"/>
        <rFont val="Aptos Narrow"/>
        <family val="2"/>
        <scheme val="minor"/>
      </rPr>
      <t>Spatial CUT&amp;Tag–RNA-seq</t>
    </r>
  </si>
  <si>
    <t>AP_13</t>
  </si>
  <si>
    <t>Spatial epigenome–transcriptome</t>
  </si>
  <si>
    <t>10.1038/s41586-023-05795-1</t>
  </si>
  <si>
    <t>Spatial epigenome–transcriptome co-profiling of mammalian tissues</t>
  </si>
  <si>
    <t>D_ST_20</t>
  </si>
  <si>
    <t>https://www.ncbi.nlm.nih.gov/geo/query/acc.cgi?acc=GSE205055     https://cells.ucsc.edu/?ds=brain-spatial-omics</t>
  </si>
  <si>
    <t>D_ST_21</t>
  </si>
  <si>
    <t>Stero-seq</t>
  </si>
  <si>
    <t>downloaded from http://sdmbench.drai.cn (Data ID 13)</t>
  </si>
  <si>
    <t xml:space="preserve">ver esta base de dados par amais dados! </t>
  </si>
  <si>
    <t>D_ST_ISH6; D_ST_CAP15; D_ST_simulation;D_ST_COSM16; D_ST_ISH14; D_ST_COSM16; D_ST_XEN17; D_ST_ISS18; D_ST_ISH19; D_ST_20; D_ST_21</t>
  </si>
  <si>
    <t>CellNiche</t>
  </si>
  <si>
    <t>doi.org/10.1038/s41467-026-71759-4</t>
  </si>
  <si>
    <t>10.1038/s41592-025-02814-z</t>
  </si>
  <si>
    <t>Nicheformer</t>
  </si>
  <si>
    <t>M_NI_67</t>
  </si>
  <si>
    <t>M_NI_68</t>
  </si>
  <si>
    <t>D_SP_simulation; D_SP_IMC_3; D_SP_IF16</t>
  </si>
  <si>
    <t>CD4;CD8;FOXP3;CD137;PD1;CK;DAPI</t>
  </si>
  <si>
    <t>CLAM</t>
  </si>
  <si>
    <t>NIC</t>
  </si>
  <si>
    <t>doi.org/10.1038/s41551-020-00682-w</t>
  </si>
  <si>
    <t>10.1109/TPAMI.2019.2936841</t>
  </si>
  <si>
    <t>M_69</t>
  </si>
  <si>
    <t>M_70</t>
  </si>
  <si>
    <t>M_71</t>
  </si>
  <si>
    <t>M_72</t>
  </si>
  <si>
    <t>M_73</t>
  </si>
  <si>
    <t>M_74</t>
  </si>
  <si>
    <t>M_75</t>
  </si>
  <si>
    <t>M_76</t>
  </si>
  <si>
    <t>M_77</t>
  </si>
  <si>
    <t>M_78</t>
  </si>
  <si>
    <t>M_79</t>
  </si>
  <si>
    <t>M_80</t>
  </si>
  <si>
    <t>M_81</t>
  </si>
  <si>
    <t>histopathological</t>
  </si>
  <si>
    <t>not specific for omics</t>
  </si>
  <si>
    <t>Computer Vision H&amp;E</t>
  </si>
  <si>
    <t xml:space="preserve">NaroNet is the first WSDL method fully adapted to multiplex imaging. Icompare to frameworks for H&amp;E </t>
  </si>
  <si>
    <t>UTAG</t>
  </si>
  <si>
    <t>10.1038/s41592-022-01657-2</t>
  </si>
  <si>
    <t>M_ML_100</t>
  </si>
  <si>
    <t>M_ML_101</t>
  </si>
  <si>
    <t>M_ML_102</t>
  </si>
  <si>
    <t>M_ML_103</t>
  </si>
  <si>
    <t>M_ML_104</t>
  </si>
  <si>
    <t>METABRIC1</t>
  </si>
  <si>
    <t>D_SP_IMC19</t>
  </si>
  <si>
    <t>METABRIC2???????</t>
  </si>
  <si>
    <t>D_SP_IMC_9; D_SP_IMC_3</t>
  </si>
  <si>
    <t xml:space="preserve">add predict cell form other cell like kevin byrd, the company </t>
  </si>
  <si>
    <t>survival prediction</t>
  </si>
  <si>
    <t>https://doi.org/10.1609/aaai.v32i1.11842</t>
  </si>
  <si>
    <t>10.1186/s12874-018-0482-1</t>
  </si>
  <si>
    <t>DeepSurv</t>
  </si>
  <si>
    <t>Deephit</t>
  </si>
  <si>
    <t>BroadSurv</t>
  </si>
  <si>
    <t>10.1109/ICCSS53909.2021.9721940</t>
  </si>
  <si>
    <t>DagSurv</t>
  </si>
  <si>
    <t>AttentionSurv</t>
  </si>
  <si>
    <t>https://doi.org/10.1145/3466782</t>
  </si>
  <si>
    <t>https://doi.org/10.48550/arXiv.2111.01482</t>
  </si>
  <si>
    <t>M_CV_1082</t>
  </si>
  <si>
    <t>M_CV_1083</t>
  </si>
  <si>
    <t>M_CV_1082; M_CV_1083</t>
  </si>
  <si>
    <t>M_Surv_1084</t>
  </si>
  <si>
    <t>M_Surv_1085</t>
  </si>
  <si>
    <t>M_Surv_1086</t>
  </si>
  <si>
    <t>M_Surv_1087</t>
  </si>
  <si>
    <t>M_Surv_1088</t>
  </si>
  <si>
    <t>M_Surv_1084;M_Surv_1085;M_Surv_1086;M_Surv_1087;M_Surv_1088</t>
  </si>
  <si>
    <t>It uses patient variables + IMC. The comparison is with models that are not spatial</t>
  </si>
  <si>
    <t>Label separation/pattern extraction - ML; Application</t>
  </si>
  <si>
    <t>D_SP_MIBI19</t>
  </si>
  <si>
    <t>Application paper; it has a small ML model to predict DCIS progressors from non progressors</t>
  </si>
  <si>
    <t>As part of the Human Tumor Atlas Network (HTAN) PreCancer Atlas, we created a multiomic atlas of breast cancer progression using co-registered adjacent serial sections cut from each RAHBT tissue microarray (TMA) block. For this study, these tissues were used for hematoxylin and eosin (H&amp;E) histochemical staining, RNA transcriptome laser-capture microdissection (LCM-Smart-3SEQ), and highly multiplexed imaging (MIBI-TOF; Figure 2A). The location of DCIS-containing ducts in H&amp;E sections were manually demarcated by a breast pathologist. This information was then used to guide spatial co-registration of LCM-Smart-3SEQ and MIBI-TOF analyses to ensure that the same ductal and stromal regions were sampled with each technique (Foley et al., 2019).</t>
  </si>
  <si>
    <t>H&amp;E, RNA transcriptome laser-capture microdissection (LCM-Smart-3SEQ), and MIBI-TOF</t>
  </si>
  <si>
    <t>https://data.mendeley.com/datasets/d87vg86zd8/3</t>
  </si>
  <si>
    <t>Risom et al.  RAHBT_MIBI</t>
  </si>
  <si>
    <t>10.17632/d87vg86zd8.3</t>
  </si>
  <si>
    <t>MIBI-TOF</t>
  </si>
  <si>
    <t>cancer - transition to invasive</t>
  </si>
  <si>
    <t>Not sure if raw data is available</t>
  </si>
  <si>
    <t>TPSAB1;KRT7;VIM;CD44;KRT5;KRT;HIF1A;PTPRC;AR;HLA-DRA;SLC2A1;CDH1;MS4A1;MMP9;FAP;ITGAX;ERBB2;CD3D;CD8A;CD36;MPO;CD68;RPS6KB1;GZMB;TP63;MKI67;IDO1;PECAM1;PDCD1;CD14;CD4;COL1A1;ACTA2;PTGS2;H3C1;ESR1;CD274</t>
  </si>
  <si>
    <t xml:space="preserve">ou por aqui spatial proteomics </t>
  </si>
  <si>
    <t xml:space="preserve">10x Visium resolution?? </t>
  </si>
  <si>
    <t>https://doi.org/10.1016/j.cell.2024.03.029</t>
  </si>
  <si>
    <t>AP_14</t>
  </si>
  <si>
    <t>Integrative spatial analysis reveals a multi-layered organization of glioblastoma</t>
  </si>
  <si>
    <t xml:space="preserve">tem data ver </t>
  </si>
  <si>
    <t>CytoCommunity</t>
  </si>
  <si>
    <t>https://doi.org/10.1038/s41592-023-02124-2</t>
  </si>
  <si>
    <t>Multiplexed imaging mass cytometry of the chemokine milieus in melanoma characterizes features of the response to immunotherapy</t>
  </si>
  <si>
    <t xml:space="preserve">Observations: </t>
  </si>
  <si>
    <t xml:space="preserve">check CosMx demo datase </t>
  </si>
  <si>
    <t>needs resolution</t>
  </si>
  <si>
    <t>A Structured Tumor-Immune Microenvironment in Triple Negative Breast Cancer Revealed by Multiplexed Ion Beam Imaging</t>
  </si>
  <si>
    <t>AP_15</t>
  </si>
  <si>
    <t xml:space="preserve">vai ter MIBI data </t>
  </si>
  <si>
    <t>probably are also technical methods</t>
  </si>
  <si>
    <t>Transcriptomic and immunophenotypic profiling reveals molecular and immunological hallmarks of colorectal cancer tumourigenesis</t>
  </si>
  <si>
    <t>Roelands Gut</t>
  </si>
  <si>
    <t>Integrative spatial analysis reveals tumor heterogeneity and immune colony niche related to clinical outcomes in small cell lung cancer</t>
  </si>
  <si>
    <t xml:space="preserve">CODEX data lung </t>
  </si>
  <si>
    <t>Dissecting the immune suppressive human prostate tumor microenvironment via integrated single-cell and spatial transcriptomic analyses</t>
  </si>
  <si>
    <t xml:space="preserve">ST prostate tumour </t>
  </si>
  <si>
    <t xml:space="preserve">ST prostate cancer </t>
  </si>
  <si>
    <t>Single cell and spatial transcriptomics highlight the interaction of club-like cells with immunosuppressive myeloid cells in prostate cancer</t>
  </si>
  <si>
    <t>PDAC IHC</t>
  </si>
  <si>
    <t>Quantitative Spatial Profiling of Immune Populations in Pancreatic Ductal Adenocarcinoma Reveals Tumor Microenvironment Heterogeneity and Prognostic Biomarkers</t>
  </si>
  <si>
    <t>IMC melanoma immunoterapy</t>
  </si>
  <si>
    <t>Multiplexed imaging mass cytometry reveals distinct tumor-immune microenvironments linked to immunotherapy responses in melanoma</t>
  </si>
  <si>
    <t>Visium HD, Xenium CRC</t>
  </si>
  <si>
    <t>VISIUM HD</t>
  </si>
  <si>
    <t>High-definition spatial transcriptomic profiling of immune cell populations in colorectal cancer</t>
  </si>
  <si>
    <t>CosMx ovarian</t>
  </si>
  <si>
    <t>Spatial transcriptomics reveals discrete tumour microenvironments and autocrine loops within ovarian cancer subclones</t>
  </si>
  <si>
    <t>CosMX BID</t>
  </si>
  <si>
    <t>Macrophage and neutrophil heterogeneity at single-cell spatial resolution in human inflammatory bowel disease</t>
  </si>
  <si>
    <t>Single-cell, single-nucleus and xenium-based spatial transcriptomics analyses reveal inflammatory activation and altered cell interactions in the hippocampus in mice with temporal lobe epilepsy</t>
  </si>
  <si>
    <t>Xenium mice hippocampus epilepsia</t>
  </si>
  <si>
    <t>Three-dimensional imaging mass cytometry for highly multiplexed molecular and cellular mapping of tissues and the tumor microenvironment</t>
  </si>
  <si>
    <t>Simultaneous Multiplexed Imaging of mRNA and Proteins with Subcellular Resolution in Breast Cancer Tissue Samples by Mass Cytometry</t>
  </si>
  <si>
    <t>10.1016/j.cels.2017.12.001 </t>
  </si>
  <si>
    <t xml:space="preserve">mRNA+protein IMC breast </t>
  </si>
  <si>
    <t>CODEX multiplexed tissue imaging with DNA-conjugated antibodies</t>
  </si>
  <si>
    <t>A Map of Human Type 1 Diabetes Progression by Imaging Mass Cytometry</t>
  </si>
  <si>
    <t>IMC diabetes</t>
  </si>
  <si>
    <t xml:space="preserve">METABRIC breast? </t>
  </si>
  <si>
    <t>Imaging mass cytometry and multiplatform genomics define the phenogenomic landscape of breast cancer</t>
  </si>
  <si>
    <t>IMC chordoma oost</t>
  </si>
  <si>
    <t>Multimodal profiling of chordoma immunity reveals distinct immune contextures</t>
  </si>
  <si>
    <t>IMC sarcoma oost</t>
  </si>
  <si>
    <t>Divergent therapeutic and prognostic impacts of immunogenic features in undifferentiated pleomorphic sarcoma and myxofibrosarcoma</t>
  </si>
  <si>
    <t>The spatial landscape of lung pathology during COVID-19 progression</t>
  </si>
  <si>
    <t>IMC covid</t>
  </si>
  <si>
    <t>T cell-mediated curation and restructuring of tumor tissue coordinates an effective immune response</t>
  </si>
  <si>
    <t>CODEX immmunoterapy melanoma</t>
  </si>
  <si>
    <t>AP_16</t>
  </si>
  <si>
    <t>AP_17</t>
  </si>
  <si>
    <t>AP_18</t>
  </si>
  <si>
    <t>AP_19</t>
  </si>
  <si>
    <t>AP_20</t>
  </si>
  <si>
    <t>AP_21</t>
  </si>
  <si>
    <t>AP_22</t>
  </si>
  <si>
    <t>AP_23</t>
  </si>
  <si>
    <t>AP_24</t>
  </si>
  <si>
    <t>AP_25</t>
  </si>
  <si>
    <t>AP_26</t>
  </si>
  <si>
    <t>AP_27</t>
  </si>
  <si>
    <t>AP_28</t>
  </si>
  <si>
    <t>AP_29</t>
  </si>
  <si>
    <t>AP_30</t>
  </si>
  <si>
    <t>AP_31</t>
  </si>
  <si>
    <t>AP_32</t>
  </si>
  <si>
    <t>AP_33</t>
  </si>
  <si>
    <t>AP_34</t>
  </si>
  <si>
    <t>AP_35</t>
  </si>
  <si>
    <t>AP_36</t>
  </si>
  <si>
    <t>AP_37</t>
  </si>
  <si>
    <t>Slide-seq: A scalable technology for measuring genome-wide expression at high spatial resolution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</si>
</sst>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333333"/>
      <name val="Georgia"/>
      <family val="1"/>
    </font>
    <font>
      <sz val="11"/>
      <color rgb="FF222222"/>
      <name val="Times New Roman"/>
      <family val="1"/>
    </font>
    <font>
      <sz val="10"/>
      <color rgb="FF000000"/>
      <name val="Arial"/>
      <family val="2"/>
    </font>
    <font>
      <sz val="7"/>
      <color rgb="FF000000"/>
      <name val="Verdana"/>
      <family val="2"/>
    </font>
    <font>
      <sz val="8"/>
      <name val="Aptos Narrow"/>
      <family val="2"/>
      <scheme val="minor"/>
    </font>
    <font>
      <sz val="14"/>
      <color rgb="FF333333"/>
      <name val="Times New Roman"/>
      <family val="1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222222"/>
      <name val="Segoe UI"/>
      <family val="2"/>
    </font>
    <font>
      <sz val="12"/>
      <color rgb="FF2222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8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vertical="center" indent="1"/>
    </xf>
    <xf numFmtId="0" fontId="1" fillId="0" borderId="0" xfId="1" applyAlignment="1">
      <alignment vertical="center"/>
    </xf>
    <xf numFmtId="0" fontId="5" fillId="0" borderId="0" xfId="0" applyFont="1"/>
    <xf numFmtId="0" fontId="0" fillId="0" borderId="1" xfId="0" applyBorder="1"/>
    <xf numFmtId="0" fontId="1" fillId="0" borderId="1" xfId="1" applyBorder="1"/>
    <xf numFmtId="0" fontId="0" fillId="0" borderId="0" xfId="0" applyAlignment="1">
      <alignment horizontal="center" vertical="center" wrapText="1"/>
    </xf>
    <xf numFmtId="0" fontId="0" fillId="2" borderId="0" xfId="0" applyFill="1"/>
    <xf numFmtId="0" fontId="1" fillId="2" borderId="0" xfId="1" applyFill="1"/>
    <xf numFmtId="0" fontId="8" fillId="0" borderId="0" xfId="0" applyFont="1"/>
    <xf numFmtId="0" fontId="8" fillId="2" borderId="0" xfId="0" applyFont="1" applyFill="1"/>
    <xf numFmtId="0" fontId="8" fillId="2" borderId="0" xfId="1" applyFont="1" applyFill="1"/>
    <xf numFmtId="0" fontId="8" fillId="0" borderId="0" xfId="1" applyFont="1"/>
    <xf numFmtId="0" fontId="8" fillId="0" borderId="0" xfId="0" applyFont="1" applyAlignment="1">
      <alignment horizontal="center" vertical="center" wrapText="1"/>
    </xf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Fill="1"/>
    <xf numFmtId="0" fontId="8" fillId="3" borderId="0" xfId="0" applyFont="1" applyFill="1"/>
    <xf numFmtId="0" fontId="8" fillId="3" borderId="0" xfId="1" applyFont="1" applyFill="1"/>
    <xf numFmtId="0" fontId="1" fillId="0" borderId="0" xfId="1" applyAlignment="1">
      <alignment horizontal="left" vertical="center" wrapText="1" indent="1"/>
    </xf>
    <xf numFmtId="0" fontId="8" fillId="0" borderId="0" xfId="0" applyFont="1" applyFill="1"/>
    <xf numFmtId="0" fontId="0" fillId="0" borderId="0" xfId="0" applyBorder="1"/>
    <xf numFmtId="0" fontId="0" fillId="0" borderId="0" xfId="0" applyFill="1" applyBorder="1"/>
    <xf numFmtId="0" fontId="0" fillId="0" borderId="0" xfId="0" applyNumberFormat="1" applyFill="1" applyBorder="1"/>
    <xf numFmtId="0" fontId="0" fillId="2" borderId="0" xfId="0" applyFill="1" applyBorder="1"/>
    <xf numFmtId="0" fontId="0" fillId="2" borderId="0" xfId="0" applyNumberFormat="1" applyFill="1" applyBorder="1"/>
    <xf numFmtId="0" fontId="10" fillId="0" borderId="0" xfId="0" applyFont="1"/>
    <xf numFmtId="0" fontId="1" fillId="0" borderId="0" xfId="1" applyFill="1"/>
    <xf numFmtId="0" fontId="10" fillId="2" borderId="0" xfId="0" applyFont="1" applyFill="1"/>
    <xf numFmtId="49" fontId="0" fillId="2" borderId="0" xfId="0" applyNumberFormat="1" applyFill="1" applyBorder="1"/>
    <xf numFmtId="0" fontId="11" fillId="0" borderId="0" xfId="0" applyFont="1"/>
    <xf numFmtId="0" fontId="0" fillId="3" borderId="0" xfId="0" applyFill="1" applyBorder="1"/>
    <xf numFmtId="0" fontId="8" fillId="0" borderId="2" xfId="0" applyFont="1" applyBorder="1"/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4" borderId="0" xfId="0" applyFill="1" applyBorder="1"/>
    <xf numFmtId="0" fontId="0" fillId="4" borderId="0" xfId="0" applyFill="1"/>
    <xf numFmtId="0" fontId="0" fillId="4" borderId="0" xfId="0" applyNumberFormat="1" applyFill="1" applyBorder="1"/>
    <xf numFmtId="0" fontId="1" fillId="4" borderId="0" xfId="1" applyFill="1"/>
    <xf numFmtId="0" fontId="1" fillId="4" borderId="0" xfId="1" applyFill="1" applyAlignment="1">
      <alignment vertical="top" wrapText="1"/>
    </xf>
    <xf numFmtId="0" fontId="7" fillId="2" borderId="0" xfId="0" applyFont="1" applyFill="1" applyBorder="1"/>
    <xf numFmtId="0" fontId="0" fillId="0" borderId="1" xfId="0" applyFill="1" applyBorder="1"/>
    <xf numFmtId="0" fontId="7" fillId="0" borderId="1" xfId="0" applyFont="1" applyFill="1" applyBorder="1"/>
    <xf numFmtId="0" fontId="7" fillId="0" borderId="0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038/s41592-024-02408-1" TargetMode="External"/><Relationship Id="rId21" Type="http://schemas.openxmlformats.org/officeDocument/2006/relationships/hyperlink" Target="https://doi.org/10.1038/s42003-024-06480-3" TargetMode="External"/><Relationship Id="rId42" Type="http://schemas.openxmlformats.org/officeDocument/2006/relationships/hyperlink" Target="https://doi.org/10.1016/j.cels.2018.02.010" TargetMode="External"/><Relationship Id="rId47" Type="http://schemas.openxmlformats.org/officeDocument/2006/relationships/hyperlink" Target="https://doi.org/10.1002/cyto.a.24480" TargetMode="External"/><Relationship Id="rId63" Type="http://schemas.openxmlformats.org/officeDocument/2006/relationships/hyperlink" Target="https://doi.org/10.1038/s41467-021-23807-4" TargetMode="External"/><Relationship Id="rId68" Type="http://schemas.openxmlformats.org/officeDocument/2006/relationships/hyperlink" Target="https://www.nature.com/articles/s41587-025-02694-w" TargetMode="External"/><Relationship Id="rId84" Type="http://schemas.openxmlformats.org/officeDocument/2006/relationships/hyperlink" Target="https://doi.org/10.1038/s41592-025-02617-2" TargetMode="External"/><Relationship Id="rId89" Type="http://schemas.openxmlformats.org/officeDocument/2006/relationships/hyperlink" Target="https://doi.org/10.1038/s43018-021-00301-w" TargetMode="External"/><Relationship Id="rId16" Type="http://schemas.openxmlformats.org/officeDocument/2006/relationships/hyperlink" Target="https://doi.org/10.1016/j.compbiomed.2023.106576" TargetMode="External"/><Relationship Id="rId11" Type="http://schemas.openxmlformats.org/officeDocument/2006/relationships/hyperlink" Target="https://doi.org/10.1038/s41587-022-01467-z" TargetMode="External"/><Relationship Id="rId32" Type="http://schemas.openxmlformats.org/officeDocument/2006/relationships/hyperlink" Target="https://doi.org/10.1186/s41232-025-00369-2" TargetMode="External"/><Relationship Id="rId37" Type="http://schemas.openxmlformats.org/officeDocument/2006/relationships/hyperlink" Target="https://doi.org/10.1016/j.cels.2025.101261" TargetMode="External"/><Relationship Id="rId53" Type="http://schemas.openxmlformats.org/officeDocument/2006/relationships/hyperlink" Target="https://doi.org/10.1038/s41467-024-48870-5" TargetMode="External"/><Relationship Id="rId58" Type="http://schemas.openxmlformats.org/officeDocument/2006/relationships/hyperlink" Target="https://doi.org/10.1038/s41592-024-02212-x" TargetMode="External"/><Relationship Id="rId74" Type="http://schemas.openxmlformats.org/officeDocument/2006/relationships/hyperlink" Target="https://doi.org/10.1371/journal.pcbi.1005177" TargetMode="External"/><Relationship Id="rId79" Type="http://schemas.openxmlformats.org/officeDocument/2006/relationships/hyperlink" Target="https://doi.org/10.1126/science.adn9947" TargetMode="External"/><Relationship Id="rId5" Type="http://schemas.openxmlformats.org/officeDocument/2006/relationships/hyperlink" Target="https://doi.org/10.1111/febs.15572" TargetMode="External"/><Relationship Id="rId90" Type="http://schemas.openxmlformats.org/officeDocument/2006/relationships/hyperlink" Target="https://doi.org/10.1016/j.cels.2017.12.001" TargetMode="External"/><Relationship Id="rId22" Type="http://schemas.openxmlformats.org/officeDocument/2006/relationships/hyperlink" Target="https://doi.org/10.1038/nmeth.4391" TargetMode="External"/><Relationship Id="rId27" Type="http://schemas.openxmlformats.org/officeDocument/2006/relationships/hyperlink" Target="https://doi.org/10.1101/2023.06.13.544751" TargetMode="External"/><Relationship Id="rId43" Type="http://schemas.openxmlformats.org/officeDocument/2006/relationships/hyperlink" Target="https://doi.org/10.1371/journal.pcbi.1008887" TargetMode="External"/><Relationship Id="rId48" Type="http://schemas.openxmlformats.org/officeDocument/2006/relationships/hyperlink" Target="https://doi.org/10.1038/s43018-020-0026-6" TargetMode="External"/><Relationship Id="rId64" Type="http://schemas.openxmlformats.org/officeDocument/2006/relationships/hyperlink" Target="https://www.nature.com/articles/s41586-025-09278-3" TargetMode="External"/><Relationship Id="rId69" Type="http://schemas.openxmlformats.org/officeDocument/2006/relationships/hyperlink" Target="https://europepmc.org/article/MED/40522999" TargetMode="External"/><Relationship Id="rId8" Type="http://schemas.openxmlformats.org/officeDocument/2006/relationships/hyperlink" Target="https://doi.org/10.1038/s41596-021-00550-0" TargetMode="External"/><Relationship Id="rId51" Type="http://schemas.openxmlformats.org/officeDocument/2006/relationships/hyperlink" Target="https://doi.org/10.1038/s41587-021-01094-0" TargetMode="External"/><Relationship Id="rId72" Type="http://schemas.openxmlformats.org/officeDocument/2006/relationships/hyperlink" Target="https://doi.org/10.1038/s41592-020-01018-x" TargetMode="External"/><Relationship Id="rId80" Type="http://schemas.openxmlformats.org/officeDocument/2006/relationships/hyperlink" Target="https://doi.org/10.1126/science.aaw1219" TargetMode="External"/><Relationship Id="rId85" Type="http://schemas.openxmlformats.org/officeDocument/2006/relationships/hyperlink" Target="https://doi.org/10.1038/s41467-024-47271-y" TargetMode="External"/><Relationship Id="rId93" Type="http://schemas.openxmlformats.org/officeDocument/2006/relationships/printerSettings" Target="../printerSettings/printerSettings1.bin"/><Relationship Id="rId3" Type="http://schemas.openxmlformats.org/officeDocument/2006/relationships/hyperlink" Target="https://doi.org/10.1093/bioadv/vbac048" TargetMode="External"/><Relationship Id="rId12" Type="http://schemas.openxmlformats.org/officeDocument/2006/relationships/hyperlink" Target="https://doi.org/10.1038/s41592-022-01728-4" TargetMode="External"/><Relationship Id="rId17" Type="http://schemas.openxmlformats.org/officeDocument/2006/relationships/hyperlink" Target="https://doi.org/10.1016/j.cell.2021.12.023" TargetMode="External"/><Relationship Id="rId25" Type="http://schemas.openxmlformats.org/officeDocument/2006/relationships/hyperlink" Target="https://doi.org/10.1038/s41587-021-00935-2" TargetMode="External"/><Relationship Id="rId33" Type="http://schemas.openxmlformats.org/officeDocument/2006/relationships/hyperlink" Target="https://doi.org/10.1136/gutjnl-2022-327608" TargetMode="External"/><Relationship Id="rId38" Type="http://schemas.openxmlformats.org/officeDocument/2006/relationships/hyperlink" Target="https://doi.org/10.1038/s41596-021-00556-8" TargetMode="External"/><Relationship Id="rId46" Type="http://schemas.openxmlformats.org/officeDocument/2006/relationships/hyperlink" Target="https://doi.org/10.1038/s41596-023-00881-0" TargetMode="External"/><Relationship Id="rId59" Type="http://schemas.openxmlformats.org/officeDocument/2006/relationships/hyperlink" Target="https://doi.org/10.1038/s43856-022-00197-2" TargetMode="External"/><Relationship Id="rId67" Type="http://schemas.openxmlformats.org/officeDocument/2006/relationships/hyperlink" Target="https://www.nature.com/articles/s41467-024-55700-1?fromPaywallRec=false" TargetMode="External"/><Relationship Id="rId20" Type="http://schemas.openxmlformats.org/officeDocument/2006/relationships/hyperlink" Target="https://doi.org/10.1038/s41467-021-26044-x" TargetMode="External"/><Relationship Id="rId41" Type="http://schemas.openxmlformats.org/officeDocument/2006/relationships/hyperlink" Target="https://doi.org/10.1016/j.cels.2021.09.012" TargetMode="External"/><Relationship Id="rId54" Type="http://schemas.openxmlformats.org/officeDocument/2006/relationships/hyperlink" Target="https://doi.org/10.48550/arXiv.1806.03535" TargetMode="External"/><Relationship Id="rId62" Type="http://schemas.openxmlformats.org/officeDocument/2006/relationships/hyperlink" Target="https://doi.org/10.1126/science.aau5324" TargetMode="External"/><Relationship Id="rId70" Type="http://schemas.openxmlformats.org/officeDocument/2006/relationships/hyperlink" Target="https://doi.org/10.1016/j.cmet.2019.01.003" TargetMode="External"/><Relationship Id="rId75" Type="http://schemas.openxmlformats.org/officeDocument/2006/relationships/hyperlink" Target="https://doi.org/10.1109/ISBI.2011.5872394" TargetMode="External"/><Relationship Id="rId83" Type="http://schemas.openxmlformats.org/officeDocument/2006/relationships/hyperlink" Target="https://doi.org/10.1609/aaai.v32i1.11842" TargetMode="External"/><Relationship Id="rId88" Type="http://schemas.openxmlformats.org/officeDocument/2006/relationships/hyperlink" Target="https://doi.org/10.1186/s40364-024-00636-3" TargetMode="External"/><Relationship Id="rId91" Type="http://schemas.openxmlformats.org/officeDocument/2006/relationships/hyperlink" Target="https://doi.org/10.1038/s41587-023-01937-y" TargetMode="External"/><Relationship Id="rId1" Type="http://schemas.openxmlformats.org/officeDocument/2006/relationships/hyperlink" Target="https://doi.org/10.1038/s41587-021-01044-w" TargetMode="External"/><Relationship Id="rId6" Type="http://schemas.openxmlformats.org/officeDocument/2006/relationships/hyperlink" Target="https://doi.org/10.1038/s41467-017-01689-9" TargetMode="External"/><Relationship Id="rId15" Type="http://schemas.openxmlformats.org/officeDocument/2006/relationships/hyperlink" Target="https://doi.org/10.1016/j.media.2022.102384" TargetMode="External"/><Relationship Id="rId23" Type="http://schemas.openxmlformats.org/officeDocument/2006/relationships/hyperlink" Target="https://doi.org/10.1038/s41587-024-02193-4" TargetMode="External"/><Relationship Id="rId28" Type="http://schemas.openxmlformats.org/officeDocument/2006/relationships/hyperlink" Target="https://doi.org/10.1186/s13059-020-02214-w" TargetMode="External"/><Relationship Id="rId36" Type="http://schemas.openxmlformats.org/officeDocument/2006/relationships/hyperlink" Target="https://doi.org/10.1093/bioadv/vbad046" TargetMode="External"/><Relationship Id="rId49" Type="http://schemas.openxmlformats.org/officeDocument/2006/relationships/hyperlink" Target="https://dx.doi.org/10.1007%2Fs00262-025-04123-y" TargetMode="External"/><Relationship Id="rId57" Type="http://schemas.openxmlformats.org/officeDocument/2006/relationships/hyperlink" Target="https://doi.org/10.1186/s12859-022-04570-9" TargetMode="External"/><Relationship Id="rId10" Type="http://schemas.openxmlformats.org/officeDocument/2006/relationships/hyperlink" Target="https://doi.org/10.1016/j.cels.2021.09.012" TargetMode="External"/><Relationship Id="rId31" Type="http://schemas.openxmlformats.org/officeDocument/2006/relationships/hyperlink" Target="https://doi.org/10.1038/s41467-023-36325-2" TargetMode="External"/><Relationship Id="rId44" Type="http://schemas.openxmlformats.org/officeDocument/2006/relationships/hyperlink" Target="https://doi.org/10.1038/s41467-023-37123-6" TargetMode="External"/><Relationship Id="rId52" Type="http://schemas.openxmlformats.org/officeDocument/2006/relationships/hyperlink" Target="https://doi.org/10.1016/j.celrep.2023.113494" TargetMode="External"/><Relationship Id="rId60" Type="http://schemas.openxmlformats.org/officeDocument/2006/relationships/hyperlink" Target="https://doi.org/10.1158/0008-5472.CAN-22-1190" TargetMode="External"/><Relationship Id="rId65" Type="http://schemas.openxmlformats.org/officeDocument/2006/relationships/hyperlink" Target="https://github.com/complextissue/spatiomic" TargetMode="External"/><Relationship Id="rId73" Type="http://schemas.openxmlformats.org/officeDocument/2006/relationships/hyperlink" Target="https://doi.org/10.48550/arXiv.1901.03353" TargetMode="External"/><Relationship Id="rId78" Type="http://schemas.openxmlformats.org/officeDocument/2006/relationships/hyperlink" Target="https://doi.org/10.1126/science.aat5691" TargetMode="External"/><Relationship Id="rId81" Type="http://schemas.openxmlformats.org/officeDocument/2006/relationships/hyperlink" Target="https://doi.org/10.1038/s41588-025-02120-6" TargetMode="External"/><Relationship Id="rId86" Type="http://schemas.openxmlformats.org/officeDocument/2006/relationships/hyperlink" Target="https://doi.org/10.1038/s41467-023-40156-6" TargetMode="External"/><Relationship Id="rId4" Type="http://schemas.openxmlformats.org/officeDocument/2006/relationships/hyperlink" Target="https://doi.org/10.1038/s41592-024-02415-2" TargetMode="External"/><Relationship Id="rId9" Type="http://schemas.openxmlformats.org/officeDocument/2006/relationships/hyperlink" Target="https://doi.org/10.1016/j.cell.2020.07.005" TargetMode="External"/><Relationship Id="rId13" Type="http://schemas.openxmlformats.org/officeDocument/2006/relationships/hyperlink" Target="https://doi.org/10.1038/s41467-023-39608-w" TargetMode="External"/><Relationship Id="rId18" Type="http://schemas.openxmlformats.org/officeDocument/2006/relationships/hyperlink" Target="https://doi.org/10.1016/j.csbj.2024.10.048" TargetMode="External"/><Relationship Id="rId39" Type="http://schemas.openxmlformats.org/officeDocument/2006/relationships/hyperlink" Target="https://doi.org/10.1186/s12859-025-06044-0" TargetMode="External"/><Relationship Id="rId34" Type="http://schemas.openxmlformats.org/officeDocument/2006/relationships/hyperlink" Target="https://doi.org/10.1007/s00281-022-00974-0" TargetMode="External"/><Relationship Id="rId50" Type="http://schemas.openxmlformats.org/officeDocument/2006/relationships/hyperlink" Target="https://doi.org/10.1186/gb-2006-7-10-r100" TargetMode="External"/><Relationship Id="rId55" Type="http://schemas.openxmlformats.org/officeDocument/2006/relationships/hyperlink" Target="https://doi.org/10.1101/2020.10.27.357640" TargetMode="External"/><Relationship Id="rId76" Type="http://schemas.openxmlformats.org/officeDocument/2006/relationships/hyperlink" Target="https://doi.org/10.1016/j.cell.2018.08.039" TargetMode="External"/><Relationship Id="rId7" Type="http://schemas.openxmlformats.org/officeDocument/2006/relationships/hyperlink" Target="https://doi.org/10.1016/j.cell.2015.05.047" TargetMode="External"/><Relationship Id="rId71" Type="http://schemas.openxmlformats.org/officeDocument/2006/relationships/hyperlink" Target="https://doi.org/10.1038/s41586-019-1876-x" TargetMode="External"/><Relationship Id="rId92" Type="http://schemas.openxmlformats.org/officeDocument/2006/relationships/hyperlink" Target="https://doi.org/10.1038/s41586-021-03475-6" TargetMode="External"/><Relationship Id="rId2" Type="http://schemas.openxmlformats.org/officeDocument/2006/relationships/hyperlink" Target="https://doi.org/10.1186/s12915-021-01043-y" TargetMode="External"/><Relationship Id="rId29" Type="http://schemas.openxmlformats.org/officeDocument/2006/relationships/hyperlink" Target="https://doi.org/10.1016/j.patter.2023.100829" TargetMode="External"/><Relationship Id="rId24" Type="http://schemas.openxmlformats.org/officeDocument/2006/relationships/hyperlink" Target="https://doi.org/10.1038/nbt.4260" TargetMode="External"/><Relationship Id="rId40" Type="http://schemas.openxmlformats.org/officeDocument/2006/relationships/hyperlink" Target="https://doi.org/10.1093/bioinformatics/btac299" TargetMode="External"/><Relationship Id="rId45" Type="http://schemas.openxmlformats.org/officeDocument/2006/relationships/hyperlink" Target="https://doi.org/10.1016/j.cmet.2018.11.014" TargetMode="External"/><Relationship Id="rId66" Type="http://schemas.openxmlformats.org/officeDocument/2006/relationships/hyperlink" Target="https://www.nature.com/articles/s41467-025-61821-y" TargetMode="External"/><Relationship Id="rId87" Type="http://schemas.openxmlformats.org/officeDocument/2006/relationships/hyperlink" Target="https://doi.org/10.1038/s41467-023-43458-x" TargetMode="External"/><Relationship Id="rId61" Type="http://schemas.openxmlformats.org/officeDocument/2006/relationships/hyperlink" Target="https://doi.org/10.1038/s41588-025-02193-3" TargetMode="External"/><Relationship Id="rId82" Type="http://schemas.openxmlformats.org/officeDocument/2006/relationships/hyperlink" Target="https://doi.org/10.1038/s41467-023-43458-x" TargetMode="External"/><Relationship Id="rId19" Type="http://schemas.openxmlformats.org/officeDocument/2006/relationships/hyperlink" Target="https://doi.org/10.1038/s41592-019-0631-4" TargetMode="External"/><Relationship Id="rId14" Type="http://schemas.openxmlformats.org/officeDocument/2006/relationships/hyperlink" Target="https://doi.org/10.1038/s41592-019-0667-5" TargetMode="External"/><Relationship Id="rId30" Type="http://schemas.openxmlformats.org/officeDocument/2006/relationships/hyperlink" Target="https://doi.org/10.1038/s41467-024-54364-1" TargetMode="External"/><Relationship Id="rId35" Type="http://schemas.openxmlformats.org/officeDocument/2006/relationships/hyperlink" Target="https://doi.org/10.1016/j.ccell.2025.01.012" TargetMode="External"/><Relationship Id="rId56" Type="http://schemas.openxmlformats.org/officeDocument/2006/relationships/hyperlink" Target="https://doi.org/10.1038/s41592-021-01308-y" TargetMode="External"/><Relationship Id="rId77" Type="http://schemas.openxmlformats.org/officeDocument/2006/relationships/hyperlink" Target="https://doi.org/10.1016/j.cels.2020.04.003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x.doi.org/10.1136%2Fjitc-2023-008138" TargetMode="External"/><Relationship Id="rId13" Type="http://schemas.openxmlformats.org/officeDocument/2006/relationships/hyperlink" Target="http://doi.org/10.1016/j.cmet.2019.01.003" TargetMode="External"/><Relationship Id="rId18" Type="http://schemas.openxmlformats.org/officeDocument/2006/relationships/hyperlink" Target="https://doi.org/10.5281/zenodo.6533905" TargetMode="External"/><Relationship Id="rId3" Type="http://schemas.openxmlformats.org/officeDocument/2006/relationships/hyperlink" Target="https://doi.org/10.5281/zenodo.4596337" TargetMode="External"/><Relationship Id="rId21" Type="http://schemas.openxmlformats.org/officeDocument/2006/relationships/hyperlink" Target="https://www.cancerimagingarchive.net/collection/crc_ffpe-codex_cellneighs/" TargetMode="External"/><Relationship Id="rId7" Type="http://schemas.openxmlformats.org/officeDocument/2006/relationships/hyperlink" Target="https://www.ebi.ac.uk/biostudies/bioimages/studies/S-BIAD830" TargetMode="External"/><Relationship Id="rId12" Type="http://schemas.openxmlformats.org/officeDocument/2006/relationships/hyperlink" Target="http://doi.org/10.1016/j.cmet.2018.11.014" TargetMode="External"/><Relationship Id="rId17" Type="http://schemas.openxmlformats.org/officeDocument/2006/relationships/hyperlink" Target="http://doi.org/10.1016/j.cels.2018.02.010" TargetMode="External"/><Relationship Id="rId2" Type="http://schemas.openxmlformats.org/officeDocument/2006/relationships/hyperlink" Target="https://doi.org/10.5281/zenodo.4727872" TargetMode="External"/><Relationship Id="rId16" Type="http://schemas.openxmlformats.org/officeDocument/2006/relationships/hyperlink" Target="https://doi.org/10.5281/zenodo.3518283" TargetMode="External"/><Relationship Id="rId20" Type="http://schemas.openxmlformats.org/officeDocument/2006/relationships/hyperlink" Target="https://datasets.deepcell.org/" TargetMode="External"/><Relationship Id="rId1" Type="http://schemas.openxmlformats.org/officeDocument/2006/relationships/hyperlink" Target="https://doi.org/10.1016/j.celrep.2023.113494" TargetMode="External"/><Relationship Id="rId6" Type="http://schemas.openxmlformats.org/officeDocument/2006/relationships/hyperlink" Target="https://dx.doi.org/10.1007%2Fs00262-025-04123-y" TargetMode="External"/><Relationship Id="rId11" Type="http://schemas.openxmlformats.org/officeDocument/2006/relationships/hyperlink" Target="https://www.ebi.ac.uk/ega/studies/idr0076" TargetMode="External"/><Relationship Id="rId5" Type="http://schemas.openxmlformats.org/officeDocument/2006/relationships/hyperlink" Target="https://doi.org/10.6019/S-BIAD1555" TargetMode="External"/><Relationship Id="rId15" Type="http://schemas.openxmlformats.org/officeDocument/2006/relationships/hyperlink" Target="https://www.cancerimagingarchive.net/collection/crc_ffpe-codex_cellneighs/" TargetMode="External"/><Relationship Id="rId23" Type="http://schemas.openxmlformats.org/officeDocument/2006/relationships/hyperlink" Target="https://doi.org/10.1016/j.cell.2021.12.023" TargetMode="External"/><Relationship Id="rId10" Type="http://schemas.openxmlformats.org/officeDocument/2006/relationships/hyperlink" Target="https://doi.org/10.1038/s43018-020-0026-6" TargetMode="External"/><Relationship Id="rId19" Type="http://schemas.openxmlformats.org/officeDocument/2006/relationships/hyperlink" Target="https://github.com/angelolab/MAUI/tree/develop/demo_data" TargetMode="External"/><Relationship Id="rId4" Type="http://schemas.openxmlformats.org/officeDocument/2006/relationships/hyperlink" Target="https://doi.org/10.5281/zenodo.6836991" TargetMode="External"/><Relationship Id="rId9" Type="http://schemas.openxmlformats.org/officeDocument/2006/relationships/hyperlink" Target="https://idr.openmicroscopy.org/webclient/?show=project-1302" TargetMode="External"/><Relationship Id="rId14" Type="http://schemas.openxmlformats.org/officeDocument/2006/relationships/hyperlink" Target="https://doi.org/10.5281/zenodo.6533905" TargetMode="External"/><Relationship Id="rId22" Type="http://schemas.openxmlformats.org/officeDocument/2006/relationships/hyperlink" Target="https://doi.org/10.1016/j.cell.2020.07.005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126/sciimmunol.abk1692" TargetMode="External"/><Relationship Id="rId2" Type="http://schemas.openxmlformats.org/officeDocument/2006/relationships/hyperlink" Target="https://www.cell.com/fulltext/S2405-4712(17)30543-4" TargetMode="External"/><Relationship Id="rId1" Type="http://schemas.openxmlformats.org/officeDocument/2006/relationships/hyperlink" Target="https://www.sciencedirect.com/science/article/pii/S0092867424003209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geo/query/acc.cgi?acc=GSE266556" TargetMode="External"/><Relationship Id="rId13" Type="http://schemas.openxmlformats.org/officeDocument/2006/relationships/hyperlink" Target="https://www.10xgenomics.com/resources/datasets/xenium-human-lung-preview-data-1-standard" TargetMode="External"/><Relationship Id="rId3" Type="http://schemas.openxmlformats.org/officeDocument/2006/relationships/hyperlink" Target="https://doi.org/10.1126/science.aau5324" TargetMode="External"/><Relationship Id="rId7" Type="http://schemas.openxmlformats.org/officeDocument/2006/relationships/hyperlink" Target="https://github.com/spacetx-spacejam/data" TargetMode="External"/><Relationship Id="rId12" Type="http://schemas.openxmlformats.org/officeDocument/2006/relationships/hyperlink" Target="https://www.10xgenomics.com/resources/datasets/ffpe-human-breast-with-pre-designed-panel-1-standard" TargetMode="External"/><Relationship Id="rId2" Type="http://schemas.openxmlformats.org/officeDocument/2006/relationships/hyperlink" Target="https://doi.org/10.5281/zenodo.3478502" TargetMode="External"/><Relationship Id="rId1" Type="http://schemas.openxmlformats.org/officeDocument/2006/relationships/hyperlink" Target="https://www.starmapresources.com/data/" TargetMode="External"/><Relationship Id="rId6" Type="http://schemas.openxmlformats.org/officeDocument/2006/relationships/hyperlink" Target="https://doi.org/10.5061/dryad.jm63xsjb2" TargetMode="External"/><Relationship Id="rId11" Type="http://schemas.openxmlformats.org/officeDocument/2006/relationships/hyperlink" Target="https://db.cngb.org/stomics/mosta/download/" TargetMode="External"/><Relationship Id="rId5" Type="http://schemas.openxmlformats.org/officeDocument/2006/relationships/hyperlink" Target="https://doi.org/10.1126/science.aat5691" TargetMode="External"/><Relationship Id="rId15" Type="http://schemas.openxmlformats.org/officeDocument/2006/relationships/hyperlink" Target="https://www.10xgenomics.com/products/xenium-in-situ/preview-dataset-human-breast" TargetMode="External"/><Relationship Id="rId10" Type="http://schemas.openxmlformats.org/officeDocument/2006/relationships/hyperlink" Target="https://doi.org/10.5281/zenodo.13118097" TargetMode="External"/><Relationship Id="rId4" Type="http://schemas.openxmlformats.org/officeDocument/2006/relationships/hyperlink" Target="https://datadryad.org/dataset/doi:10.5061/dryad.8t8s248" TargetMode="External"/><Relationship Id="rId9" Type="http://schemas.openxmlformats.org/officeDocument/2006/relationships/hyperlink" Target="https://doi.org/10.1038/s41592-024-02415-2" TargetMode="External"/><Relationship Id="rId14" Type="http://schemas.openxmlformats.org/officeDocument/2006/relationships/hyperlink" Target="https://info.vizgen.com/mouse-liver-acce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09268-224C-48D8-A27A-00D013FED758}">
  <dimension ref="A1:AJ339"/>
  <sheetViews>
    <sheetView topLeftCell="A31" zoomScale="78" zoomScaleNormal="78" workbookViewId="0">
      <selection activeCell="A57" sqref="A57"/>
    </sheetView>
  </sheetViews>
  <sheetFormatPr defaultRowHeight="15" x14ac:dyDescent="0.25"/>
  <cols>
    <col min="1" max="1" width="11.140625" customWidth="1"/>
    <col min="2" max="2" width="44.85546875" customWidth="1"/>
    <col min="3" max="3" width="30.28515625" customWidth="1"/>
    <col min="4" max="4" width="33.42578125" customWidth="1"/>
    <col min="5" max="5" width="15.28515625" customWidth="1"/>
    <col min="6" max="6" width="11.5703125" customWidth="1"/>
    <col min="7" max="7" width="12.7109375" bestFit="1" customWidth="1"/>
    <col min="8" max="8" width="8.140625" customWidth="1"/>
    <col min="9" max="9" width="23.140625" customWidth="1"/>
    <col min="10" max="10" width="18.28515625" customWidth="1"/>
    <col min="11" max="11" width="21.28515625" customWidth="1"/>
    <col min="12" max="12" width="16.42578125" customWidth="1"/>
  </cols>
  <sheetData>
    <row r="1" spans="1:13" x14ac:dyDescent="0.25">
      <c r="A1" t="s">
        <v>572</v>
      </c>
    </row>
    <row r="2" spans="1:13" ht="45" x14ac:dyDescent="0.25">
      <c r="A2" s="10" t="s">
        <v>573</v>
      </c>
      <c r="B2" s="10" t="s">
        <v>558</v>
      </c>
      <c r="C2" s="10" t="s">
        <v>0</v>
      </c>
      <c r="D2" s="10" t="s">
        <v>1</v>
      </c>
      <c r="E2" s="10" t="s">
        <v>2</v>
      </c>
      <c r="F2" s="10" t="s">
        <v>488</v>
      </c>
      <c r="G2" s="10" t="s">
        <v>493</v>
      </c>
      <c r="H2" s="10" t="s">
        <v>494</v>
      </c>
      <c r="I2" s="10" t="s">
        <v>490</v>
      </c>
      <c r="J2" s="10" t="s">
        <v>491</v>
      </c>
      <c r="K2" s="10" t="s">
        <v>492</v>
      </c>
      <c r="L2" s="10" t="s">
        <v>570</v>
      </c>
      <c r="M2" s="10" t="s">
        <v>3</v>
      </c>
    </row>
    <row r="9" spans="1:13" x14ac:dyDescent="0.25">
      <c r="A9" t="s">
        <v>580</v>
      </c>
      <c r="C9" s="8"/>
      <c r="D9" s="8"/>
      <c r="E9" s="8"/>
      <c r="F9" s="8"/>
      <c r="G9" s="8"/>
      <c r="H9" s="8"/>
      <c r="I9" s="8"/>
    </row>
    <row r="10" spans="1:13" x14ac:dyDescent="0.25">
      <c r="C10" s="25"/>
      <c r="D10" s="25"/>
      <c r="E10" s="25"/>
      <c r="F10" s="25"/>
      <c r="G10" s="25"/>
      <c r="H10" s="25"/>
      <c r="I10" s="25"/>
    </row>
    <row r="11" spans="1:13" x14ac:dyDescent="0.25">
      <c r="C11" s="25"/>
      <c r="D11" s="25"/>
      <c r="E11" s="25"/>
      <c r="F11" s="25"/>
      <c r="G11" s="25"/>
      <c r="H11" s="25"/>
      <c r="I11" s="25"/>
    </row>
    <row r="12" spans="1:13" x14ac:dyDescent="0.25">
      <c r="C12" s="25"/>
      <c r="D12" s="25"/>
      <c r="E12" s="25"/>
      <c r="F12" s="25"/>
      <c r="G12" s="25"/>
      <c r="H12" s="25"/>
      <c r="I12" s="25"/>
    </row>
    <row r="14" spans="1:13" s="10" customFormat="1" ht="45" x14ac:dyDescent="0.25">
      <c r="A14" s="10" t="s">
        <v>560</v>
      </c>
      <c r="B14" s="10" t="s">
        <v>558</v>
      </c>
      <c r="C14" s="10" t="s">
        <v>0</v>
      </c>
      <c r="D14" s="10" t="s">
        <v>1</v>
      </c>
      <c r="E14" s="10" t="s">
        <v>2</v>
      </c>
      <c r="F14" s="10" t="s">
        <v>488</v>
      </c>
      <c r="G14" s="10" t="s">
        <v>493</v>
      </c>
      <c r="H14" s="10" t="s">
        <v>494</v>
      </c>
      <c r="I14" s="10" t="s">
        <v>490</v>
      </c>
      <c r="J14" s="10" t="s">
        <v>491</v>
      </c>
      <c r="K14" s="10" t="s">
        <v>492</v>
      </c>
      <c r="L14" s="10" t="s">
        <v>570</v>
      </c>
      <c r="M14" s="10" t="s">
        <v>3</v>
      </c>
    </row>
    <row r="15" spans="1:13" s="11" customFormat="1" x14ac:dyDescent="0.25">
      <c r="A15" s="11" t="s">
        <v>496</v>
      </c>
      <c r="B15" s="12" t="s">
        <v>4</v>
      </c>
      <c r="C15" s="11" t="s">
        <v>5</v>
      </c>
      <c r="D15" s="11" t="s">
        <v>6</v>
      </c>
      <c r="E15" s="11" t="s">
        <v>7</v>
      </c>
      <c r="F15" s="11">
        <v>20250705</v>
      </c>
      <c r="G15" s="11">
        <v>20260617</v>
      </c>
      <c r="H15" s="11" t="s">
        <v>495</v>
      </c>
      <c r="I15" s="11" t="s">
        <v>489</v>
      </c>
      <c r="J15" s="11" t="s">
        <v>217</v>
      </c>
      <c r="K15" s="11" t="s">
        <v>253</v>
      </c>
      <c r="L15" s="11" t="s">
        <v>566</v>
      </c>
      <c r="M15" s="11" t="s">
        <v>566</v>
      </c>
    </row>
    <row r="16" spans="1:13" x14ac:dyDescent="0.25">
      <c r="A16" t="s">
        <v>497</v>
      </c>
      <c r="B16" s="1" t="s">
        <v>8</v>
      </c>
      <c r="C16" t="s">
        <v>5</v>
      </c>
      <c r="D16" t="s">
        <v>6</v>
      </c>
      <c r="E16" t="s">
        <v>9</v>
      </c>
      <c r="F16">
        <v>20250705</v>
      </c>
      <c r="J16" t="s">
        <v>217</v>
      </c>
      <c r="K16" t="s">
        <v>259</v>
      </c>
    </row>
    <row r="17" spans="1:36" s="11" customFormat="1" x14ac:dyDescent="0.25">
      <c r="A17" s="11" t="s">
        <v>498</v>
      </c>
      <c r="B17" s="12" t="s">
        <v>10</v>
      </c>
      <c r="C17" s="11" t="s">
        <v>5</v>
      </c>
      <c r="D17" s="11" t="s">
        <v>6</v>
      </c>
      <c r="E17" s="11" t="s">
        <v>11</v>
      </c>
      <c r="F17" s="11">
        <v>20250705</v>
      </c>
      <c r="G17" s="11">
        <v>20260621</v>
      </c>
      <c r="H17" s="11" t="s">
        <v>495</v>
      </c>
      <c r="I17" s="11" t="s">
        <v>489</v>
      </c>
      <c r="J17" s="11" t="s">
        <v>217</v>
      </c>
      <c r="K17" s="11" t="s">
        <v>596</v>
      </c>
      <c r="L17" s="11" t="s">
        <v>593</v>
      </c>
      <c r="M17" s="11" t="s">
        <v>566</v>
      </c>
    </row>
    <row r="18" spans="1:36" x14ac:dyDescent="0.25">
      <c r="A18" t="s">
        <v>499</v>
      </c>
      <c r="B18" s="1" t="s">
        <v>12</v>
      </c>
      <c r="C18" t="s">
        <v>5</v>
      </c>
      <c r="D18" t="s">
        <v>6</v>
      </c>
      <c r="E18" t="s">
        <v>13</v>
      </c>
      <c r="F18">
        <v>20250705</v>
      </c>
      <c r="J18" t="s">
        <v>217</v>
      </c>
      <c r="L18" t="s">
        <v>296</v>
      </c>
      <c r="N18" t="s">
        <v>590</v>
      </c>
    </row>
    <row r="19" spans="1:36" s="11" customFormat="1" ht="13.9" customHeight="1" x14ac:dyDescent="0.25">
      <c r="A19" s="11" t="s">
        <v>500</v>
      </c>
      <c r="B19" s="12" t="s">
        <v>14</v>
      </c>
      <c r="C19" s="11" t="s">
        <v>5</v>
      </c>
      <c r="D19" s="11" t="s">
        <v>6</v>
      </c>
      <c r="E19" s="11" t="s">
        <v>15</v>
      </c>
      <c r="F19" s="11">
        <v>20250705</v>
      </c>
      <c r="G19" s="11">
        <v>20260617</v>
      </c>
      <c r="H19" s="11" t="s">
        <v>495</v>
      </c>
      <c r="I19" s="11" t="s">
        <v>489</v>
      </c>
      <c r="J19" s="11" t="s">
        <v>217</v>
      </c>
      <c r="K19" s="11" t="s">
        <v>588</v>
      </c>
      <c r="L19" s="11" t="s">
        <v>575</v>
      </c>
      <c r="M19" s="11" t="s">
        <v>566</v>
      </c>
    </row>
    <row r="20" spans="1:36" s="28" customFormat="1" ht="15" customHeight="1" x14ac:dyDescent="0.3">
      <c r="A20" s="28" t="s">
        <v>501</v>
      </c>
      <c r="B20" s="28" t="s">
        <v>16</v>
      </c>
      <c r="C20" s="28" t="s">
        <v>5</v>
      </c>
      <c r="D20" s="28" t="s">
        <v>6</v>
      </c>
      <c r="E20" s="28" t="s">
        <v>17</v>
      </c>
      <c r="F20" s="28">
        <v>20250705</v>
      </c>
      <c r="G20" s="28">
        <v>20260617</v>
      </c>
      <c r="H20" s="28" t="s">
        <v>495</v>
      </c>
      <c r="I20" s="28" t="s">
        <v>489</v>
      </c>
      <c r="J20" s="28" t="s">
        <v>217</v>
      </c>
      <c r="K20" s="28" t="s">
        <v>585</v>
      </c>
      <c r="L20" s="28" t="s">
        <v>583</v>
      </c>
      <c r="M20" s="28" t="s">
        <v>566</v>
      </c>
      <c r="AJ20" s="44"/>
    </row>
    <row r="21" spans="1:36" s="26" customFormat="1" ht="15" customHeight="1" x14ac:dyDescent="0.3">
      <c r="A21" t="s">
        <v>575</v>
      </c>
      <c r="B21" t="s">
        <v>566</v>
      </c>
      <c r="C21" t="s">
        <v>574</v>
      </c>
      <c r="D21" t="s">
        <v>6</v>
      </c>
      <c r="E21" t="s">
        <v>589</v>
      </c>
      <c r="F21" t="s">
        <v>565</v>
      </c>
      <c r="G21" t="s">
        <v>565</v>
      </c>
      <c r="H21" t="s">
        <v>566</v>
      </c>
      <c r="I21" t="s">
        <v>566</v>
      </c>
      <c r="J21" t="s">
        <v>566</v>
      </c>
      <c r="K21" t="s">
        <v>566</v>
      </c>
      <c r="L21" t="s">
        <v>566</v>
      </c>
      <c r="AJ21" s="47"/>
    </row>
    <row r="22" spans="1:36" s="26" customFormat="1" ht="15" customHeight="1" x14ac:dyDescent="0.3">
      <c r="A22" t="s">
        <v>576</v>
      </c>
      <c r="B22" t="s">
        <v>566</v>
      </c>
      <c r="C22" t="s">
        <v>574</v>
      </c>
      <c r="D22" t="s">
        <v>6</v>
      </c>
      <c r="E22" t="s">
        <v>581</v>
      </c>
      <c r="F22" t="s">
        <v>565</v>
      </c>
      <c r="G22" t="s">
        <v>565</v>
      </c>
      <c r="H22" t="s">
        <v>566</v>
      </c>
      <c r="I22" t="s">
        <v>566</v>
      </c>
      <c r="J22" t="s">
        <v>566</v>
      </c>
      <c r="K22" t="s">
        <v>566</v>
      </c>
      <c r="L22" t="s">
        <v>566</v>
      </c>
      <c r="AJ22" s="47"/>
    </row>
    <row r="23" spans="1:36" s="26" customFormat="1" ht="15" customHeight="1" x14ac:dyDescent="0.3">
      <c r="A23" t="s">
        <v>577</v>
      </c>
      <c r="B23" t="s">
        <v>566</v>
      </c>
      <c r="C23" t="s">
        <v>574</v>
      </c>
      <c r="D23" t="s">
        <v>6</v>
      </c>
      <c r="E23" t="s">
        <v>582</v>
      </c>
      <c r="F23" t="s">
        <v>565</v>
      </c>
      <c r="G23" t="s">
        <v>565</v>
      </c>
      <c r="H23" t="s">
        <v>566</v>
      </c>
      <c r="I23" t="s">
        <v>566</v>
      </c>
      <c r="J23" t="s">
        <v>566</v>
      </c>
      <c r="K23" t="s">
        <v>566</v>
      </c>
      <c r="L23" t="s">
        <v>566</v>
      </c>
      <c r="AJ23" s="47"/>
    </row>
    <row r="24" spans="1:36" s="26" customFormat="1" ht="13.9" customHeight="1" x14ac:dyDescent="0.25">
      <c r="A24"/>
      <c r="B24"/>
      <c r="C24"/>
      <c r="D24"/>
      <c r="E24"/>
      <c r="F24"/>
      <c r="G24"/>
      <c r="H24"/>
      <c r="I24"/>
      <c r="J24"/>
      <c r="K24"/>
      <c r="L24"/>
    </row>
    <row r="25" spans="1:36" s="26" customFormat="1" x14ac:dyDescent="0.25"/>
    <row r="26" spans="1:36" s="45" customFormat="1" ht="15" customHeight="1" x14ac:dyDescent="0.3">
      <c r="AJ26" s="46"/>
    </row>
    <row r="27" spans="1:36" x14ac:dyDescent="0.25">
      <c r="A27" t="s">
        <v>612</v>
      </c>
      <c r="B27" s="1" t="s">
        <v>18</v>
      </c>
      <c r="C27" t="s">
        <v>5</v>
      </c>
      <c r="D27" t="s">
        <v>19</v>
      </c>
      <c r="E27" t="s">
        <v>613</v>
      </c>
      <c r="F27">
        <v>20250705</v>
      </c>
      <c r="L27" t="s">
        <v>340</v>
      </c>
    </row>
    <row r="28" spans="1:36" x14ac:dyDescent="0.25">
      <c r="B28" s="1"/>
    </row>
    <row r="29" spans="1:36" x14ac:dyDescent="0.25">
      <c r="B29" s="1"/>
    </row>
    <row r="30" spans="1:36" x14ac:dyDescent="0.25">
      <c r="A30" t="s">
        <v>502</v>
      </c>
      <c r="B30" s="1" t="s">
        <v>20</v>
      </c>
      <c r="C30" t="s">
        <v>5</v>
      </c>
      <c r="D30" t="s">
        <v>19</v>
      </c>
      <c r="E30" t="s">
        <v>21</v>
      </c>
      <c r="F30">
        <v>20250705</v>
      </c>
      <c r="L30" t="s">
        <v>341</v>
      </c>
    </row>
    <row r="31" spans="1:36" s="11" customFormat="1" x14ac:dyDescent="0.25">
      <c r="A31" s="11" t="s">
        <v>503</v>
      </c>
      <c r="B31" s="12" t="s">
        <v>22</v>
      </c>
      <c r="C31" s="11" t="s">
        <v>5</v>
      </c>
      <c r="D31" s="11" t="s">
        <v>19</v>
      </c>
      <c r="E31" s="11" t="s">
        <v>627</v>
      </c>
      <c r="F31" s="11">
        <v>20250705</v>
      </c>
      <c r="G31" s="11">
        <v>20260704</v>
      </c>
      <c r="H31" s="11" t="s">
        <v>495</v>
      </c>
      <c r="I31" s="11" t="s">
        <v>489</v>
      </c>
      <c r="J31" s="11" t="s">
        <v>217</v>
      </c>
      <c r="K31" s="11" t="s">
        <v>342</v>
      </c>
      <c r="L31" s="11" t="s">
        <v>626</v>
      </c>
      <c r="O31" s="11" t="s">
        <v>708</v>
      </c>
    </row>
    <row r="32" spans="1:36" x14ac:dyDescent="0.25">
      <c r="A32" t="s">
        <v>504</v>
      </c>
      <c r="B32" s="1" t="s">
        <v>23</v>
      </c>
      <c r="C32" t="s">
        <v>5</v>
      </c>
      <c r="D32" t="s">
        <v>19</v>
      </c>
      <c r="E32" t="s">
        <v>24</v>
      </c>
      <c r="F32">
        <v>20250705</v>
      </c>
      <c r="K32" t="s">
        <v>357</v>
      </c>
    </row>
    <row r="33" spans="1:15" x14ac:dyDescent="0.25">
      <c r="A33" t="s">
        <v>505</v>
      </c>
      <c r="B33" s="1" t="s">
        <v>25</v>
      </c>
      <c r="C33" t="s">
        <v>5</v>
      </c>
      <c r="D33" t="s">
        <v>19</v>
      </c>
      <c r="E33" t="s">
        <v>26</v>
      </c>
      <c r="F33">
        <v>20250705</v>
      </c>
      <c r="L33" t="s">
        <v>358</v>
      </c>
    </row>
    <row r="34" spans="1:15" x14ac:dyDescent="0.25">
      <c r="A34" t="s">
        <v>506</v>
      </c>
      <c r="B34" s="1" t="s">
        <v>27</v>
      </c>
      <c r="C34" t="s">
        <v>5</v>
      </c>
      <c r="D34" t="s">
        <v>19</v>
      </c>
      <c r="E34" t="s">
        <v>28</v>
      </c>
      <c r="F34">
        <v>20250705</v>
      </c>
      <c r="L34" t="s">
        <v>358</v>
      </c>
    </row>
    <row r="35" spans="1:15" s="20" customFormat="1" x14ac:dyDescent="0.25">
      <c r="A35" s="20" t="s">
        <v>507</v>
      </c>
      <c r="B35" s="31" t="s">
        <v>29</v>
      </c>
      <c r="C35" s="20" t="s">
        <v>5</v>
      </c>
      <c r="D35" s="20" t="s">
        <v>19</v>
      </c>
      <c r="E35" s="20" t="s">
        <v>30</v>
      </c>
      <c r="F35" s="20">
        <v>20250705</v>
      </c>
      <c r="K35" s="20" t="s">
        <v>363</v>
      </c>
    </row>
    <row r="36" spans="1:15" x14ac:dyDescent="0.25">
      <c r="A36" t="s">
        <v>508</v>
      </c>
      <c r="B36" s="1" t="s">
        <v>31</v>
      </c>
      <c r="C36" t="s">
        <v>5</v>
      </c>
      <c r="D36" t="s">
        <v>19</v>
      </c>
      <c r="E36" t="s">
        <v>32</v>
      </c>
      <c r="F36">
        <v>20250705</v>
      </c>
      <c r="H36" t="s">
        <v>633</v>
      </c>
      <c r="K36" t="s">
        <v>366</v>
      </c>
    </row>
    <row r="37" spans="1:15" s="11" customFormat="1" x14ac:dyDescent="0.25">
      <c r="A37" s="11" t="s">
        <v>509</v>
      </c>
      <c r="B37" s="12" t="s">
        <v>33</v>
      </c>
      <c r="C37" s="11" t="s">
        <v>5</v>
      </c>
      <c r="D37" s="11" t="s">
        <v>19</v>
      </c>
      <c r="E37" s="11" t="s">
        <v>34</v>
      </c>
      <c r="F37" s="11">
        <v>20250705</v>
      </c>
      <c r="G37" s="33">
        <v>20260704</v>
      </c>
      <c r="H37" s="11" t="s">
        <v>495</v>
      </c>
      <c r="I37" s="11" t="s">
        <v>489</v>
      </c>
      <c r="J37" s="11" t="s">
        <v>217</v>
      </c>
      <c r="K37" s="11" t="s">
        <v>648</v>
      </c>
      <c r="L37" s="11" t="s">
        <v>636</v>
      </c>
      <c r="M37" s="11" t="s">
        <v>638</v>
      </c>
    </row>
    <row r="38" spans="1:15" s="11" customFormat="1" x14ac:dyDescent="0.25">
      <c r="A38" s="11" t="s">
        <v>510</v>
      </c>
      <c r="B38" s="12" t="s">
        <v>35</v>
      </c>
      <c r="C38" s="11" t="s">
        <v>5</v>
      </c>
      <c r="D38" s="11" t="s">
        <v>36</v>
      </c>
      <c r="E38" s="11" t="s">
        <v>37</v>
      </c>
      <c r="F38" s="11">
        <v>20250705</v>
      </c>
      <c r="G38" s="33">
        <v>20260704</v>
      </c>
      <c r="H38" s="11" t="s">
        <v>495</v>
      </c>
      <c r="I38" s="11" t="s">
        <v>489</v>
      </c>
      <c r="J38" s="11" t="s">
        <v>653</v>
      </c>
      <c r="K38" s="11" t="s">
        <v>696</v>
      </c>
      <c r="L38" s="11" t="s">
        <v>724</v>
      </c>
      <c r="M38" s="11" t="s">
        <v>712</v>
      </c>
      <c r="O38" s="11" t="s">
        <v>707</v>
      </c>
    </row>
    <row r="39" spans="1:15" x14ac:dyDescent="0.25">
      <c r="A39" t="s">
        <v>511</v>
      </c>
      <c r="B39" t="s">
        <v>38</v>
      </c>
      <c r="C39" t="s">
        <v>5</v>
      </c>
      <c r="D39" t="s">
        <v>36</v>
      </c>
      <c r="E39" t="s">
        <v>39</v>
      </c>
      <c r="F39">
        <v>20250705</v>
      </c>
    </row>
    <row r="40" spans="1:15" s="11" customFormat="1" x14ac:dyDescent="0.25">
      <c r="A40" s="11" t="s">
        <v>512</v>
      </c>
      <c r="B40" s="12" t="s">
        <v>40</v>
      </c>
      <c r="C40" s="11" t="s">
        <v>5</v>
      </c>
      <c r="D40" s="11" t="s">
        <v>36</v>
      </c>
      <c r="E40" s="11" t="s">
        <v>41</v>
      </c>
      <c r="F40" s="11">
        <v>20250705</v>
      </c>
      <c r="G40" s="11">
        <v>20260705</v>
      </c>
      <c r="H40" s="11" t="s">
        <v>495</v>
      </c>
      <c r="I40" s="11" t="s">
        <v>489</v>
      </c>
      <c r="J40" s="11" t="s">
        <v>653</v>
      </c>
      <c r="K40" s="11" t="s">
        <v>721</v>
      </c>
      <c r="L40" s="11" t="s">
        <v>579</v>
      </c>
      <c r="M40" s="11" t="s">
        <v>726</v>
      </c>
    </row>
    <row r="41" spans="1:15" s="11" customFormat="1" x14ac:dyDescent="0.25">
      <c r="A41" s="11" t="s">
        <v>513</v>
      </c>
      <c r="B41" s="11" t="s">
        <v>42</v>
      </c>
      <c r="C41" s="11" t="s">
        <v>5</v>
      </c>
      <c r="D41" s="11" t="s">
        <v>36</v>
      </c>
      <c r="E41" s="11" t="s">
        <v>43</v>
      </c>
      <c r="F41" s="11">
        <v>20250705</v>
      </c>
      <c r="G41" s="11">
        <v>20260705</v>
      </c>
      <c r="H41" s="11" t="s">
        <v>495</v>
      </c>
      <c r="I41" s="11" t="s">
        <v>489</v>
      </c>
      <c r="J41" s="11" t="s">
        <v>653</v>
      </c>
      <c r="K41" s="11" t="s">
        <v>760</v>
      </c>
      <c r="L41" s="11" t="s">
        <v>762</v>
      </c>
      <c r="M41" s="11" t="s">
        <v>763</v>
      </c>
    </row>
    <row r="42" spans="1:15" x14ac:dyDescent="0.25">
      <c r="A42" t="s">
        <v>514</v>
      </c>
      <c r="B42" t="s">
        <v>44</v>
      </c>
      <c r="C42" t="s">
        <v>5</v>
      </c>
      <c r="D42" t="s">
        <v>36</v>
      </c>
      <c r="E42" t="s">
        <v>45</v>
      </c>
      <c r="F42">
        <v>20250705</v>
      </c>
    </row>
    <row r="43" spans="1:15" x14ac:dyDescent="0.25">
      <c r="A43" t="s">
        <v>515</v>
      </c>
      <c r="B43" s="1" t="s">
        <v>46</v>
      </c>
      <c r="C43" t="s">
        <v>5</v>
      </c>
      <c r="D43" t="s">
        <v>36</v>
      </c>
      <c r="E43" t="s">
        <v>47</v>
      </c>
      <c r="F43">
        <v>20250705</v>
      </c>
    </row>
    <row r="44" spans="1:15" x14ac:dyDescent="0.25">
      <c r="A44" t="s">
        <v>516</v>
      </c>
      <c r="B44" t="s">
        <v>48</v>
      </c>
      <c r="C44" t="s">
        <v>5</v>
      </c>
      <c r="D44" t="s">
        <v>36</v>
      </c>
      <c r="E44" t="s">
        <v>49</v>
      </c>
      <c r="F44">
        <v>20250705</v>
      </c>
    </row>
    <row r="45" spans="1:15" x14ac:dyDescent="0.25">
      <c r="A45" t="s">
        <v>517</v>
      </c>
      <c r="B45" s="1" t="s">
        <v>50</v>
      </c>
      <c r="C45" t="s">
        <v>5</v>
      </c>
      <c r="D45" t="s">
        <v>36</v>
      </c>
      <c r="E45" t="s">
        <v>51</v>
      </c>
      <c r="F45">
        <v>20250705</v>
      </c>
    </row>
    <row r="46" spans="1:15" s="25" customFormat="1" x14ac:dyDescent="0.25">
      <c r="A46" s="25" t="s">
        <v>518</v>
      </c>
      <c r="B46" s="25" t="s">
        <v>52</v>
      </c>
      <c r="C46" s="25" t="s">
        <v>5</v>
      </c>
      <c r="D46" s="25" t="s">
        <v>36</v>
      </c>
      <c r="E46" s="25" t="s">
        <v>53</v>
      </c>
      <c r="F46" s="25">
        <v>20250705</v>
      </c>
    </row>
    <row r="47" spans="1:15" s="39" customFormat="1" x14ac:dyDescent="0.25">
      <c r="A47" s="35" t="s">
        <v>616</v>
      </c>
      <c r="B47" s="43" t="s">
        <v>618</v>
      </c>
      <c r="C47" s="39" t="s">
        <v>5</v>
      </c>
      <c r="D47" s="39" t="s">
        <v>617</v>
      </c>
      <c r="E47" s="39" t="s">
        <v>615</v>
      </c>
      <c r="F47" s="39">
        <v>20260704</v>
      </c>
      <c r="G47" s="41">
        <v>20260704</v>
      </c>
      <c r="H47" s="41" t="s">
        <v>495</v>
      </c>
      <c r="I47" s="40" t="s">
        <v>489</v>
      </c>
      <c r="J47" s="39" t="s">
        <v>566</v>
      </c>
      <c r="K47" s="39" t="s">
        <v>566</v>
      </c>
      <c r="L47" s="39" t="s">
        <v>566</v>
      </c>
      <c r="M47" s="39" t="s">
        <v>619</v>
      </c>
    </row>
    <row r="48" spans="1:15" s="25" customFormat="1" x14ac:dyDescent="0.25">
      <c r="A48" s="35" t="s">
        <v>620</v>
      </c>
      <c r="B48" s="23" t="s">
        <v>621</v>
      </c>
      <c r="C48" t="s">
        <v>5</v>
      </c>
      <c r="D48" t="s">
        <v>19</v>
      </c>
      <c r="E48" s="26" t="s">
        <v>624</v>
      </c>
      <c r="F48" s="26">
        <v>20260704</v>
      </c>
    </row>
    <row r="49" spans="1:15" s="25" customFormat="1" x14ac:dyDescent="0.25">
      <c r="A49" s="35" t="s">
        <v>625</v>
      </c>
      <c r="B49" s="1" t="s">
        <v>622</v>
      </c>
      <c r="C49" t="s">
        <v>5</v>
      </c>
      <c r="D49" t="s">
        <v>19</v>
      </c>
      <c r="E49" s="26" t="s">
        <v>614</v>
      </c>
      <c r="F49" s="26">
        <v>20260704</v>
      </c>
      <c r="M49" s="25" t="s">
        <v>623</v>
      </c>
    </row>
    <row r="50" spans="1:15" s="25" customFormat="1" x14ac:dyDescent="0.25">
      <c r="A50" s="35" t="s">
        <v>635</v>
      </c>
      <c r="B50" s="1" t="s">
        <v>637</v>
      </c>
      <c r="C50" t="s">
        <v>5</v>
      </c>
      <c r="D50" t="s">
        <v>19</v>
      </c>
      <c r="E50" s="26" t="s">
        <v>634</v>
      </c>
      <c r="F50" s="26">
        <v>20260704</v>
      </c>
    </row>
    <row r="51" spans="1:15" s="25" customFormat="1" x14ac:dyDescent="0.25">
      <c r="A51" s="35" t="s">
        <v>715</v>
      </c>
      <c r="B51" s="1" t="s">
        <v>714</v>
      </c>
      <c r="C51" t="s">
        <v>5</v>
      </c>
      <c r="D51"/>
      <c r="E51" s="26" t="s">
        <v>713</v>
      </c>
      <c r="F51" s="26">
        <v>20260705</v>
      </c>
    </row>
    <row r="52" spans="1:15" s="25" customFormat="1" x14ac:dyDescent="0.25">
      <c r="A52" s="35" t="s">
        <v>761</v>
      </c>
      <c r="B52" s="1" t="s">
        <v>716</v>
      </c>
      <c r="C52" t="s">
        <v>5</v>
      </c>
      <c r="D52"/>
      <c r="E52" s="26" t="s">
        <v>717</v>
      </c>
      <c r="F52" s="26">
        <v>20260705</v>
      </c>
      <c r="O52" s="25" t="s">
        <v>718</v>
      </c>
    </row>
    <row r="53" spans="1:15" s="25" customFormat="1" x14ac:dyDescent="0.25">
      <c r="A53" s="35" t="s">
        <v>766</v>
      </c>
      <c r="B53" s="1"/>
      <c r="C53"/>
      <c r="D53"/>
      <c r="E53" s="26"/>
      <c r="F53" s="26"/>
    </row>
    <row r="54" spans="1:15" s="26" customFormat="1" x14ac:dyDescent="0.25">
      <c r="A54" t="s">
        <v>578</v>
      </c>
      <c r="B54" t="s">
        <v>566</v>
      </c>
      <c r="C54" t="s">
        <v>574</v>
      </c>
      <c r="D54" t="s">
        <v>710</v>
      </c>
      <c r="E54" t="s">
        <v>711</v>
      </c>
      <c r="F54">
        <v>20260705</v>
      </c>
      <c r="G54">
        <v>20260705</v>
      </c>
    </row>
    <row r="55" spans="1:15" s="26" customFormat="1" x14ac:dyDescent="0.25">
      <c r="A55" t="s">
        <v>579</v>
      </c>
      <c r="B55" t="s">
        <v>566</v>
      </c>
      <c r="C55" t="s">
        <v>574</v>
      </c>
      <c r="D55" t="s">
        <v>710</v>
      </c>
      <c r="E55" t="s">
        <v>725</v>
      </c>
      <c r="F55"/>
      <c r="G55"/>
    </row>
    <row r="56" spans="1:15" s="26" customFormat="1" x14ac:dyDescent="0.25">
      <c r="B56" s="31"/>
      <c r="C56" s="20"/>
      <c r="D56" s="20"/>
    </row>
    <row r="57" spans="1:15" s="25" customFormat="1" x14ac:dyDescent="0.25">
      <c r="A57" s="26"/>
      <c r="B57" s="1"/>
      <c r="C57"/>
      <c r="D57"/>
      <c r="E57" s="26"/>
      <c r="F57" s="26"/>
    </row>
    <row r="58" spans="1:15" s="25" customFormat="1" x14ac:dyDescent="0.25">
      <c r="A58" s="26"/>
      <c r="B58" s="1"/>
      <c r="C58"/>
      <c r="D58"/>
      <c r="E58" s="26"/>
      <c r="F58" s="26"/>
    </row>
    <row r="59" spans="1:15" s="8" customFormat="1" x14ac:dyDescent="0.25"/>
    <row r="60" spans="1:15" x14ac:dyDescent="0.25">
      <c r="A60" t="s">
        <v>519</v>
      </c>
      <c r="B60" t="s">
        <v>54</v>
      </c>
      <c r="C60" t="s">
        <v>5</v>
      </c>
      <c r="D60" t="s">
        <v>55</v>
      </c>
      <c r="E60" t="s">
        <v>56</v>
      </c>
      <c r="F60">
        <v>20250705</v>
      </c>
      <c r="L60" t="s">
        <v>367</v>
      </c>
    </row>
    <row r="61" spans="1:15" x14ac:dyDescent="0.25">
      <c r="A61" t="s">
        <v>520</v>
      </c>
      <c r="B61" t="s">
        <v>57</v>
      </c>
      <c r="C61" t="s">
        <v>5</v>
      </c>
      <c r="D61" t="s">
        <v>55</v>
      </c>
      <c r="E61" t="s">
        <v>58</v>
      </c>
      <c r="F61">
        <v>20250705</v>
      </c>
      <c r="L61" t="s">
        <v>369</v>
      </c>
    </row>
    <row r="62" spans="1:15" x14ac:dyDescent="0.25">
      <c r="A62" t="s">
        <v>521</v>
      </c>
      <c r="B62" t="s">
        <v>59</v>
      </c>
      <c r="C62" t="s">
        <v>5</v>
      </c>
      <c r="D62" t="s">
        <v>55</v>
      </c>
      <c r="E62" t="s">
        <v>60</v>
      </c>
      <c r="F62">
        <v>20250705</v>
      </c>
      <c r="L62" t="s">
        <v>369</v>
      </c>
    </row>
    <row r="63" spans="1:15" s="8" customFormat="1" x14ac:dyDescent="0.25">
      <c r="A63" s="8" t="s">
        <v>522</v>
      </c>
      <c r="B63" s="9" t="s">
        <v>61</v>
      </c>
      <c r="C63" s="8" t="s">
        <v>5</v>
      </c>
      <c r="D63" s="8" t="s">
        <v>55</v>
      </c>
      <c r="E63" s="8" t="s">
        <v>60</v>
      </c>
      <c r="F63" s="8">
        <v>20250705</v>
      </c>
      <c r="L63" s="8" t="s">
        <v>369</v>
      </c>
    </row>
    <row r="64" spans="1:15" x14ac:dyDescent="0.25">
      <c r="A64" t="s">
        <v>523</v>
      </c>
      <c r="B64" t="s">
        <v>62</v>
      </c>
      <c r="C64" t="s">
        <v>5</v>
      </c>
      <c r="D64" t="s">
        <v>63</v>
      </c>
      <c r="E64" t="s">
        <v>64</v>
      </c>
      <c r="F64">
        <v>20250705</v>
      </c>
      <c r="L64" t="s">
        <v>370</v>
      </c>
    </row>
    <row r="65" spans="1:13" s="11" customFormat="1" x14ac:dyDescent="0.25">
      <c r="A65" s="11" t="s">
        <v>524</v>
      </c>
      <c r="B65" s="12" t="s">
        <v>65</v>
      </c>
      <c r="C65" s="11" t="s">
        <v>5</v>
      </c>
      <c r="D65" s="11" t="s">
        <v>63</v>
      </c>
      <c r="E65" s="11" t="s">
        <v>66</v>
      </c>
      <c r="F65" s="11">
        <v>20250705</v>
      </c>
      <c r="G65" s="29">
        <v>20260705</v>
      </c>
      <c r="H65" s="29" t="s">
        <v>495</v>
      </c>
      <c r="I65" s="11" t="s">
        <v>489</v>
      </c>
      <c r="J65" s="11" t="s">
        <v>217</v>
      </c>
      <c r="K65" s="11" t="s">
        <v>258</v>
      </c>
      <c r="L65" s="11" t="s">
        <v>566</v>
      </c>
      <c r="M65" s="11" t="s">
        <v>764</v>
      </c>
    </row>
    <row r="66" spans="1:13" x14ac:dyDescent="0.25">
      <c r="A66" t="s">
        <v>525</v>
      </c>
      <c r="B66" s="1" t="s">
        <v>67</v>
      </c>
      <c r="C66" t="s">
        <v>5</v>
      </c>
      <c r="D66" t="s">
        <v>63</v>
      </c>
      <c r="E66" t="s">
        <v>68</v>
      </c>
      <c r="F66">
        <v>20250705</v>
      </c>
    </row>
    <row r="67" spans="1:13" s="11" customFormat="1" x14ac:dyDescent="0.25">
      <c r="A67" s="11" t="s">
        <v>526</v>
      </c>
      <c r="B67" s="12" t="s">
        <v>69</v>
      </c>
      <c r="C67" s="11" t="s">
        <v>5</v>
      </c>
      <c r="D67" s="11" t="s">
        <v>63</v>
      </c>
      <c r="E67" s="11" t="s">
        <v>70</v>
      </c>
      <c r="F67" s="11">
        <v>20250705</v>
      </c>
      <c r="G67" s="29">
        <v>20260705</v>
      </c>
      <c r="H67" s="29" t="s">
        <v>495</v>
      </c>
      <c r="I67" s="11" t="s">
        <v>489</v>
      </c>
      <c r="J67" s="11" t="s">
        <v>653</v>
      </c>
      <c r="K67" s="11" t="s">
        <v>831</v>
      </c>
      <c r="L67" s="11" t="s">
        <v>776</v>
      </c>
      <c r="M67" s="11" t="s">
        <v>566</v>
      </c>
    </row>
    <row r="68" spans="1:13" x14ac:dyDescent="0.25">
      <c r="A68" t="s">
        <v>527</v>
      </c>
      <c r="B68" t="s">
        <v>71</v>
      </c>
      <c r="C68" t="s">
        <v>5</v>
      </c>
      <c r="D68" t="s">
        <v>63</v>
      </c>
      <c r="E68" t="s">
        <v>72</v>
      </c>
      <c r="F68">
        <v>20250705</v>
      </c>
    </row>
    <row r="69" spans="1:13" x14ac:dyDescent="0.25">
      <c r="A69" t="s">
        <v>528</v>
      </c>
      <c r="B69" t="s">
        <v>73</v>
      </c>
      <c r="C69" t="s">
        <v>5</v>
      </c>
      <c r="D69" t="s">
        <v>63</v>
      </c>
      <c r="E69" t="s">
        <v>74</v>
      </c>
      <c r="F69">
        <v>20250705</v>
      </c>
    </row>
    <row r="70" spans="1:13" x14ac:dyDescent="0.25">
      <c r="A70" t="s">
        <v>529</v>
      </c>
      <c r="B70" t="s">
        <v>75</v>
      </c>
      <c r="C70" t="s">
        <v>5</v>
      </c>
      <c r="D70" t="s">
        <v>63</v>
      </c>
      <c r="E70" t="s">
        <v>76</v>
      </c>
      <c r="F70">
        <v>20250705</v>
      </c>
      <c r="K70" s="18"/>
    </row>
    <row r="71" spans="1:13" x14ac:dyDescent="0.25">
      <c r="A71" t="s">
        <v>530</v>
      </c>
      <c r="B71" t="s">
        <v>77</v>
      </c>
      <c r="C71" t="s">
        <v>5</v>
      </c>
      <c r="D71" t="s">
        <v>63</v>
      </c>
      <c r="E71" t="s">
        <v>78</v>
      </c>
      <c r="F71">
        <v>20250705</v>
      </c>
    </row>
    <row r="72" spans="1:13" x14ac:dyDescent="0.25">
      <c r="A72" t="s">
        <v>531</v>
      </c>
      <c r="B72" t="s">
        <v>79</v>
      </c>
      <c r="C72" t="s">
        <v>5</v>
      </c>
      <c r="D72" t="s">
        <v>63</v>
      </c>
      <c r="E72" t="s">
        <v>80</v>
      </c>
      <c r="F72">
        <v>20250705</v>
      </c>
    </row>
    <row r="73" spans="1:13" x14ac:dyDescent="0.25">
      <c r="A73" t="s">
        <v>532</v>
      </c>
      <c r="B73" t="s">
        <v>81</v>
      </c>
      <c r="C73" t="s">
        <v>5</v>
      </c>
      <c r="D73" t="s">
        <v>63</v>
      </c>
      <c r="E73" t="s">
        <v>82</v>
      </c>
      <c r="F73">
        <v>20250705</v>
      </c>
    </row>
    <row r="74" spans="1:13" x14ac:dyDescent="0.25">
      <c r="A74" t="s">
        <v>533</v>
      </c>
      <c r="B74" t="s">
        <v>83</v>
      </c>
      <c r="C74" t="s">
        <v>5</v>
      </c>
      <c r="D74" t="s">
        <v>63</v>
      </c>
      <c r="E74" t="s">
        <v>84</v>
      </c>
      <c r="F74">
        <v>20250705</v>
      </c>
    </row>
    <row r="75" spans="1:13" x14ac:dyDescent="0.25">
      <c r="A75" t="s">
        <v>534</v>
      </c>
      <c r="B75" t="s">
        <v>85</v>
      </c>
      <c r="C75" t="s">
        <v>5</v>
      </c>
      <c r="D75" t="s">
        <v>63</v>
      </c>
      <c r="E75" t="s">
        <v>86</v>
      </c>
      <c r="F75">
        <v>20250705</v>
      </c>
    </row>
    <row r="76" spans="1:13" x14ac:dyDescent="0.25">
      <c r="A76" t="s">
        <v>535</v>
      </c>
      <c r="B76" t="s">
        <v>87</v>
      </c>
      <c r="C76" t="s">
        <v>5</v>
      </c>
      <c r="D76" t="s">
        <v>63</v>
      </c>
      <c r="E76" t="s">
        <v>88</v>
      </c>
      <c r="F76">
        <v>20250705</v>
      </c>
    </row>
    <row r="77" spans="1:13" x14ac:dyDescent="0.25">
      <c r="A77" t="s">
        <v>536</v>
      </c>
      <c r="B77" t="s">
        <v>89</v>
      </c>
      <c r="C77" t="s">
        <v>5</v>
      </c>
      <c r="D77" t="s">
        <v>63</v>
      </c>
      <c r="E77" t="s">
        <v>90</v>
      </c>
      <c r="F77">
        <v>20250705</v>
      </c>
    </row>
    <row r="78" spans="1:13" x14ac:dyDescent="0.25">
      <c r="A78" t="s">
        <v>537</v>
      </c>
      <c r="B78" t="s">
        <v>91</v>
      </c>
      <c r="C78" t="s">
        <v>5</v>
      </c>
      <c r="D78" t="s">
        <v>63</v>
      </c>
      <c r="E78" t="s">
        <v>92</v>
      </c>
      <c r="F78">
        <v>20250705</v>
      </c>
    </row>
    <row r="79" spans="1:13" x14ac:dyDescent="0.25">
      <c r="A79" s="25" t="s">
        <v>538</v>
      </c>
      <c r="B79" s="25" t="s">
        <v>93</v>
      </c>
      <c r="C79" s="25" t="s">
        <v>5</v>
      </c>
      <c r="D79" s="25" t="s">
        <v>63</v>
      </c>
      <c r="E79" s="25" t="s">
        <v>94</v>
      </c>
      <c r="F79" s="25">
        <v>20250705</v>
      </c>
    </row>
    <row r="80" spans="1:13" x14ac:dyDescent="0.25">
      <c r="A80" t="s">
        <v>769</v>
      </c>
      <c r="B80" t="s">
        <v>768</v>
      </c>
      <c r="C80" t="s">
        <v>5</v>
      </c>
      <c r="D80" t="s">
        <v>63</v>
      </c>
      <c r="E80" t="s">
        <v>767</v>
      </c>
      <c r="F80">
        <v>20260705</v>
      </c>
    </row>
    <row r="81" spans="1:6" x14ac:dyDescent="0.25">
      <c r="A81" t="s">
        <v>772</v>
      </c>
      <c r="B81" t="s">
        <v>771</v>
      </c>
      <c r="C81" t="s">
        <v>5</v>
      </c>
      <c r="D81" t="s">
        <v>63</v>
      </c>
      <c r="E81" t="s">
        <v>770</v>
      </c>
      <c r="F81">
        <v>20260705</v>
      </c>
    </row>
    <row r="82" spans="1:6" x14ac:dyDescent="0.25">
      <c r="A82" t="s">
        <v>775</v>
      </c>
      <c r="B82" t="s">
        <v>773</v>
      </c>
      <c r="C82" t="s">
        <v>5</v>
      </c>
      <c r="D82" t="s">
        <v>63</v>
      </c>
      <c r="E82" t="s">
        <v>774</v>
      </c>
      <c r="F82">
        <v>20260705</v>
      </c>
    </row>
    <row r="83" spans="1:6" x14ac:dyDescent="0.25">
      <c r="A83" t="s">
        <v>836</v>
      </c>
      <c r="B83" t="s">
        <v>833</v>
      </c>
      <c r="C83" t="s">
        <v>5</v>
      </c>
      <c r="D83" t="s">
        <v>63</v>
      </c>
      <c r="E83" t="s">
        <v>832</v>
      </c>
      <c r="F83">
        <v>20260705</v>
      </c>
    </row>
    <row r="84" spans="1:6" x14ac:dyDescent="0.25">
      <c r="A84" t="s">
        <v>837</v>
      </c>
      <c r="B84" t="s">
        <v>834</v>
      </c>
      <c r="C84" t="s">
        <v>5</v>
      </c>
      <c r="D84" t="s">
        <v>63</v>
      </c>
      <c r="E84" t="s">
        <v>835</v>
      </c>
      <c r="F84">
        <v>20260705</v>
      </c>
    </row>
    <row r="85" spans="1:6" x14ac:dyDescent="0.25">
      <c r="B85" t="s">
        <v>862</v>
      </c>
      <c r="E85" t="s">
        <v>861</v>
      </c>
      <c r="F85">
        <v>20260706</v>
      </c>
    </row>
    <row r="86" spans="1:6" x14ac:dyDescent="0.25">
      <c r="B86" t="s">
        <v>913</v>
      </c>
      <c r="E86" t="s">
        <v>912</v>
      </c>
      <c r="F86">
        <v>20260706</v>
      </c>
    </row>
    <row r="89" spans="1:6" s="8" customFormat="1" x14ac:dyDescent="0.25"/>
    <row r="90" spans="1:6" x14ac:dyDescent="0.25">
      <c r="A90" t="s">
        <v>539</v>
      </c>
      <c r="B90" t="s">
        <v>95</v>
      </c>
      <c r="C90" t="s">
        <v>5</v>
      </c>
      <c r="D90" t="s">
        <v>96</v>
      </c>
      <c r="E90" t="s">
        <v>97</v>
      </c>
      <c r="F90">
        <v>20250705</v>
      </c>
    </row>
    <row r="91" spans="1:6" x14ac:dyDescent="0.25">
      <c r="A91" t="s">
        <v>540</v>
      </c>
      <c r="B91" t="s">
        <v>98</v>
      </c>
      <c r="C91" t="s">
        <v>5</v>
      </c>
      <c r="D91" t="s">
        <v>96</v>
      </c>
      <c r="E91" t="s">
        <v>99</v>
      </c>
      <c r="F91">
        <v>20250705</v>
      </c>
    </row>
    <row r="92" spans="1:6" x14ac:dyDescent="0.25">
      <c r="A92" t="s">
        <v>541</v>
      </c>
      <c r="B92" t="s">
        <v>100</v>
      </c>
      <c r="C92" t="s">
        <v>5</v>
      </c>
      <c r="D92" t="s">
        <v>96</v>
      </c>
      <c r="E92" t="s">
        <v>101</v>
      </c>
      <c r="F92">
        <v>20250705</v>
      </c>
    </row>
    <row r="93" spans="1:6" x14ac:dyDescent="0.25">
      <c r="A93" t="s">
        <v>542</v>
      </c>
      <c r="B93" t="s">
        <v>102</v>
      </c>
      <c r="C93" t="s">
        <v>5</v>
      </c>
      <c r="D93" t="s">
        <v>96</v>
      </c>
      <c r="E93" t="s">
        <v>103</v>
      </c>
      <c r="F93">
        <v>20250705</v>
      </c>
    </row>
    <row r="94" spans="1:6" x14ac:dyDescent="0.25">
      <c r="A94" t="s">
        <v>543</v>
      </c>
      <c r="B94" t="s">
        <v>104</v>
      </c>
      <c r="C94" t="s">
        <v>5</v>
      </c>
      <c r="D94" t="s">
        <v>96</v>
      </c>
      <c r="E94" t="s">
        <v>105</v>
      </c>
      <c r="F94">
        <v>20250705</v>
      </c>
    </row>
    <row r="95" spans="1:6" x14ac:dyDescent="0.25">
      <c r="A95" t="s">
        <v>544</v>
      </c>
      <c r="B95" t="s">
        <v>106</v>
      </c>
      <c r="C95" t="s">
        <v>5</v>
      </c>
      <c r="D95" t="s">
        <v>96</v>
      </c>
      <c r="E95" t="s">
        <v>107</v>
      </c>
      <c r="F95">
        <v>20250705</v>
      </c>
    </row>
    <row r="96" spans="1:6" s="8" customFormat="1" x14ac:dyDescent="0.25">
      <c r="A96" s="8" t="s">
        <v>545</v>
      </c>
      <c r="B96" s="8" t="s">
        <v>108</v>
      </c>
      <c r="C96" s="8" t="s">
        <v>5</v>
      </c>
      <c r="D96" s="8" t="s">
        <v>96</v>
      </c>
      <c r="E96" s="8" t="s">
        <v>109</v>
      </c>
      <c r="F96" s="8">
        <v>20250705</v>
      </c>
    </row>
    <row r="97" spans="1:14" x14ac:dyDescent="0.25">
      <c r="A97" t="s">
        <v>546</v>
      </c>
      <c r="B97" t="s">
        <v>110</v>
      </c>
      <c r="C97" t="s">
        <v>5</v>
      </c>
      <c r="D97" t="s">
        <v>111</v>
      </c>
      <c r="E97" t="s">
        <v>112</v>
      </c>
      <c r="F97">
        <v>20250705</v>
      </c>
    </row>
    <row r="98" spans="1:14" x14ac:dyDescent="0.25">
      <c r="A98" t="s">
        <v>547</v>
      </c>
      <c r="B98" t="s">
        <v>113</v>
      </c>
      <c r="C98" t="s">
        <v>5</v>
      </c>
      <c r="D98" t="s">
        <v>111</v>
      </c>
      <c r="E98" t="s">
        <v>114</v>
      </c>
      <c r="F98">
        <v>20250705</v>
      </c>
    </row>
    <row r="99" spans="1:14" x14ac:dyDescent="0.25">
      <c r="A99" t="s">
        <v>548</v>
      </c>
      <c r="B99" t="s">
        <v>115</v>
      </c>
      <c r="C99" t="s">
        <v>5</v>
      </c>
      <c r="D99" t="s">
        <v>111</v>
      </c>
      <c r="E99" t="s">
        <v>116</v>
      </c>
      <c r="F99">
        <v>20250705</v>
      </c>
    </row>
    <row r="100" spans="1:14" x14ac:dyDescent="0.25">
      <c r="A100" t="s">
        <v>549</v>
      </c>
      <c r="B100" t="s">
        <v>117</v>
      </c>
      <c r="C100" t="s">
        <v>5</v>
      </c>
      <c r="D100" t="s">
        <v>111</v>
      </c>
      <c r="E100" t="s">
        <v>118</v>
      </c>
      <c r="F100">
        <v>20250705</v>
      </c>
    </row>
    <row r="101" spans="1:14" x14ac:dyDescent="0.25">
      <c r="A101" t="s">
        <v>550</v>
      </c>
      <c r="B101" t="s">
        <v>119</v>
      </c>
      <c r="C101" t="s">
        <v>5</v>
      </c>
      <c r="D101" t="s">
        <v>111</v>
      </c>
      <c r="E101" t="s">
        <v>120</v>
      </c>
      <c r="F101">
        <v>20250705</v>
      </c>
    </row>
    <row r="102" spans="1:14" x14ac:dyDescent="0.25">
      <c r="A102" t="s">
        <v>551</v>
      </c>
      <c r="B102" t="s">
        <v>121</v>
      </c>
      <c r="C102" t="s">
        <v>5</v>
      </c>
      <c r="D102" t="s">
        <v>111</v>
      </c>
      <c r="E102" t="s">
        <v>122</v>
      </c>
      <c r="F102">
        <v>20250705</v>
      </c>
    </row>
    <row r="103" spans="1:14" x14ac:dyDescent="0.25">
      <c r="A103" t="s">
        <v>552</v>
      </c>
      <c r="B103" t="s">
        <v>123</v>
      </c>
      <c r="C103" t="s">
        <v>5</v>
      </c>
      <c r="D103" t="s">
        <v>111</v>
      </c>
      <c r="E103" t="s">
        <v>122</v>
      </c>
      <c r="F103">
        <v>20250705</v>
      </c>
      <c r="N103" s="1"/>
    </row>
    <row r="104" spans="1:14" x14ac:dyDescent="0.25">
      <c r="A104" t="s">
        <v>553</v>
      </c>
      <c r="B104" t="s">
        <v>124</v>
      </c>
      <c r="C104" t="s">
        <v>5</v>
      </c>
      <c r="D104" t="s">
        <v>111</v>
      </c>
      <c r="E104" t="s">
        <v>125</v>
      </c>
      <c r="F104">
        <v>20250705</v>
      </c>
    </row>
    <row r="105" spans="1:14" x14ac:dyDescent="0.25">
      <c r="A105" t="s">
        <v>554</v>
      </c>
      <c r="B105" t="s">
        <v>126</v>
      </c>
      <c r="C105" t="s">
        <v>5</v>
      </c>
      <c r="D105" t="s">
        <v>111</v>
      </c>
      <c r="E105" t="s">
        <v>127</v>
      </c>
      <c r="F105">
        <v>20250705</v>
      </c>
    </row>
    <row r="106" spans="1:14" x14ac:dyDescent="0.25">
      <c r="A106" t="s">
        <v>555</v>
      </c>
      <c r="B106" t="s">
        <v>128</v>
      </c>
      <c r="C106" t="s">
        <v>5</v>
      </c>
      <c r="D106" t="s">
        <v>111</v>
      </c>
      <c r="E106" t="s">
        <v>129</v>
      </c>
      <c r="F106">
        <v>20250705</v>
      </c>
    </row>
    <row r="107" spans="1:14" x14ac:dyDescent="0.25">
      <c r="A107" t="s">
        <v>556</v>
      </c>
      <c r="B107" t="s">
        <v>130</v>
      </c>
      <c r="C107" t="s">
        <v>5</v>
      </c>
      <c r="D107" t="s">
        <v>111</v>
      </c>
      <c r="E107" t="s">
        <v>131</v>
      </c>
      <c r="F107">
        <v>20250705</v>
      </c>
    </row>
    <row r="108" spans="1:14" s="8" customFormat="1" x14ac:dyDescent="0.25">
      <c r="A108" s="8" t="s">
        <v>557</v>
      </c>
      <c r="B108" s="8" t="s">
        <v>132</v>
      </c>
      <c r="C108" s="8" t="s">
        <v>5</v>
      </c>
      <c r="D108" s="8" t="s">
        <v>111</v>
      </c>
      <c r="E108" s="8" t="s">
        <v>133</v>
      </c>
      <c r="F108" s="8">
        <v>20250705</v>
      </c>
    </row>
    <row r="109" spans="1:14" s="11" customFormat="1" x14ac:dyDescent="0.25">
      <c r="A109" s="28" t="s">
        <v>863</v>
      </c>
      <c r="B109" s="12" t="s">
        <v>134</v>
      </c>
      <c r="C109" s="11" t="s">
        <v>5</v>
      </c>
      <c r="D109" s="11" t="s">
        <v>135</v>
      </c>
      <c r="E109" s="11" t="s">
        <v>136</v>
      </c>
      <c r="F109" s="11">
        <v>20250705</v>
      </c>
      <c r="G109" s="29">
        <v>20260706</v>
      </c>
      <c r="H109" s="29" t="s">
        <v>495</v>
      </c>
      <c r="I109" s="11" t="s">
        <v>489</v>
      </c>
      <c r="J109" s="11" t="s">
        <v>217</v>
      </c>
      <c r="K109" s="11" t="s">
        <v>838</v>
      </c>
      <c r="L109" s="11" t="s">
        <v>886</v>
      </c>
      <c r="M109" s="11" t="s">
        <v>860</v>
      </c>
    </row>
    <row r="110" spans="1:14" s="11" customFormat="1" x14ac:dyDescent="0.25">
      <c r="A110" s="28" t="s">
        <v>864</v>
      </c>
      <c r="B110" s="11" t="s">
        <v>138</v>
      </c>
      <c r="C110" s="11" t="s">
        <v>5</v>
      </c>
      <c r="D110" s="11" t="s">
        <v>135</v>
      </c>
      <c r="E110" s="11" t="s">
        <v>139</v>
      </c>
      <c r="F110" s="11">
        <v>20250705</v>
      </c>
      <c r="G110" s="29">
        <v>20260706</v>
      </c>
      <c r="H110" s="29" t="s">
        <v>495</v>
      </c>
      <c r="I110" s="11" t="s">
        <v>489</v>
      </c>
      <c r="J110" s="11" t="s">
        <v>217</v>
      </c>
      <c r="K110" s="14" t="s">
        <v>871</v>
      </c>
      <c r="L110" s="11" t="s">
        <v>892</v>
      </c>
      <c r="M110" s="11" t="s">
        <v>893</v>
      </c>
    </row>
    <row r="111" spans="1:14" s="11" customFormat="1" x14ac:dyDescent="0.25">
      <c r="A111" s="28" t="s">
        <v>865</v>
      </c>
      <c r="B111" s="11" t="s">
        <v>140</v>
      </c>
      <c r="C111" s="11" t="s">
        <v>5</v>
      </c>
      <c r="D111" s="11" t="s">
        <v>894</v>
      </c>
      <c r="E111" s="11" t="s">
        <v>900</v>
      </c>
      <c r="F111" s="11">
        <v>20250705</v>
      </c>
      <c r="G111" s="29">
        <v>20260706</v>
      </c>
      <c r="H111" s="29" t="s">
        <v>495</v>
      </c>
      <c r="I111" s="11" t="s">
        <v>489</v>
      </c>
      <c r="J111" s="11" t="s">
        <v>217</v>
      </c>
      <c r="K111" s="14" t="s">
        <v>895</v>
      </c>
      <c r="L111" s="11" t="s">
        <v>566</v>
      </c>
      <c r="M111" s="11" t="s">
        <v>896</v>
      </c>
    </row>
    <row r="112" spans="1:14" x14ac:dyDescent="0.25">
      <c r="A112" s="26" t="s">
        <v>866</v>
      </c>
      <c r="B112" t="s">
        <v>141</v>
      </c>
      <c r="C112" t="s">
        <v>5</v>
      </c>
      <c r="D112" t="s">
        <v>135</v>
      </c>
      <c r="E112" t="s">
        <v>142</v>
      </c>
      <c r="F112">
        <v>20250705</v>
      </c>
    </row>
    <row r="113" spans="1:16" x14ac:dyDescent="0.25">
      <c r="A113" s="26" t="s">
        <v>867</v>
      </c>
      <c r="B113" t="s">
        <v>143</v>
      </c>
      <c r="C113" t="s">
        <v>5</v>
      </c>
      <c r="D113" t="s">
        <v>144</v>
      </c>
      <c r="E113" t="s">
        <v>145</v>
      </c>
      <c r="F113">
        <v>20250705</v>
      </c>
    </row>
    <row r="114" spans="1:16" x14ac:dyDescent="0.25">
      <c r="A114" s="26" t="s">
        <v>844</v>
      </c>
      <c r="B114" t="s">
        <v>146</v>
      </c>
      <c r="C114" t="s">
        <v>5</v>
      </c>
      <c r="D114" t="s">
        <v>147</v>
      </c>
      <c r="E114" t="s">
        <v>148</v>
      </c>
      <c r="F114">
        <v>20250705</v>
      </c>
    </row>
    <row r="115" spans="1:16" x14ac:dyDescent="0.25">
      <c r="A115" s="26" t="s">
        <v>845</v>
      </c>
      <c r="B115" t="s">
        <v>149</v>
      </c>
      <c r="C115" t="s">
        <v>5</v>
      </c>
      <c r="D115" s="2" t="s">
        <v>150</v>
      </c>
      <c r="E115" t="s">
        <v>151</v>
      </c>
      <c r="F115">
        <v>20250705</v>
      </c>
    </row>
    <row r="116" spans="1:16" x14ac:dyDescent="0.25">
      <c r="A116" s="26" t="s">
        <v>846</v>
      </c>
      <c r="B116" s="1" t="s">
        <v>152</v>
      </c>
      <c r="C116" t="s">
        <v>5</v>
      </c>
      <c r="D116" t="s">
        <v>153</v>
      </c>
      <c r="E116" t="s">
        <v>154</v>
      </c>
      <c r="F116">
        <v>20250705</v>
      </c>
    </row>
    <row r="117" spans="1:16" x14ac:dyDescent="0.25">
      <c r="A117" s="26" t="s">
        <v>847</v>
      </c>
      <c r="B117" t="s">
        <v>155</v>
      </c>
      <c r="C117" t="s">
        <v>5</v>
      </c>
      <c r="D117" t="s">
        <v>156</v>
      </c>
      <c r="F117">
        <v>20250705</v>
      </c>
    </row>
    <row r="118" spans="1:16" x14ac:dyDescent="0.25">
      <c r="A118" s="26" t="s">
        <v>848</v>
      </c>
      <c r="B118" t="s">
        <v>157</v>
      </c>
      <c r="C118" t="s">
        <v>5</v>
      </c>
      <c r="D118" t="s">
        <v>158</v>
      </c>
      <c r="F118">
        <v>20250705</v>
      </c>
      <c r="L118" s="18" t="s">
        <v>137</v>
      </c>
    </row>
    <row r="119" spans="1:16" x14ac:dyDescent="0.25">
      <c r="A119" s="26" t="s">
        <v>849</v>
      </c>
      <c r="B119" t="s">
        <v>159</v>
      </c>
      <c r="C119" t="s">
        <v>5</v>
      </c>
      <c r="D119" t="s">
        <v>156</v>
      </c>
      <c r="F119">
        <v>20250705</v>
      </c>
    </row>
    <row r="120" spans="1:16" x14ac:dyDescent="0.25">
      <c r="A120" s="26" t="s">
        <v>850</v>
      </c>
      <c r="B120" t="s">
        <v>165</v>
      </c>
      <c r="C120" t="s">
        <v>5</v>
      </c>
      <c r="D120" t="s">
        <v>153</v>
      </c>
      <c r="E120" t="s">
        <v>166</v>
      </c>
      <c r="F120">
        <v>20250705</v>
      </c>
    </row>
    <row r="121" spans="1:16" x14ac:dyDescent="0.25">
      <c r="A121" s="26" t="s">
        <v>851</v>
      </c>
      <c r="B121" t="s">
        <v>167</v>
      </c>
      <c r="C121" t="s">
        <v>5</v>
      </c>
      <c r="D121" t="s">
        <v>153</v>
      </c>
      <c r="E121" t="s">
        <v>168</v>
      </c>
      <c r="F121">
        <v>20250705</v>
      </c>
    </row>
    <row r="122" spans="1:16" x14ac:dyDescent="0.25">
      <c r="A122" s="26" t="s">
        <v>852</v>
      </c>
      <c r="B122" t="s">
        <v>169</v>
      </c>
      <c r="C122" t="s">
        <v>5</v>
      </c>
      <c r="D122" t="s">
        <v>153</v>
      </c>
      <c r="E122" t="s">
        <v>170</v>
      </c>
      <c r="F122">
        <v>20250705</v>
      </c>
    </row>
    <row r="123" spans="1:16" x14ac:dyDescent="0.25">
      <c r="A123" s="26" t="s">
        <v>853</v>
      </c>
      <c r="B123" t="s">
        <v>171</v>
      </c>
      <c r="C123" t="s">
        <v>5</v>
      </c>
      <c r="D123" t="s">
        <v>172</v>
      </c>
      <c r="F123">
        <v>20250705</v>
      </c>
    </row>
    <row r="124" spans="1:16" x14ac:dyDescent="0.25">
      <c r="A124" s="26" t="s">
        <v>854</v>
      </c>
      <c r="B124" t="s">
        <v>173</v>
      </c>
      <c r="C124" t="s">
        <v>5</v>
      </c>
      <c r="D124" t="s">
        <v>156</v>
      </c>
      <c r="F124">
        <v>20250705</v>
      </c>
    </row>
    <row r="125" spans="1:16" x14ac:dyDescent="0.25">
      <c r="A125" s="26" t="s">
        <v>855</v>
      </c>
      <c r="B125" t="s">
        <v>174</v>
      </c>
      <c r="C125" t="s">
        <v>5</v>
      </c>
      <c r="D125" t="s">
        <v>175</v>
      </c>
      <c r="E125" t="s">
        <v>176</v>
      </c>
      <c r="F125">
        <v>20250705</v>
      </c>
      <c r="N125" t="s">
        <v>177</v>
      </c>
    </row>
    <row r="126" spans="1:16" x14ac:dyDescent="0.25">
      <c r="A126" s="26" t="s">
        <v>856</v>
      </c>
      <c r="B126" t="s">
        <v>178</v>
      </c>
      <c r="C126" t="s">
        <v>5</v>
      </c>
      <c r="D126" t="s">
        <v>63</v>
      </c>
      <c r="E126" t="s">
        <v>88</v>
      </c>
      <c r="F126">
        <v>20250705</v>
      </c>
    </row>
    <row r="127" spans="1:16" s="40" customFormat="1" x14ac:dyDescent="0.25">
      <c r="A127" s="39" t="s">
        <v>884</v>
      </c>
      <c r="B127" s="40" t="s">
        <v>842</v>
      </c>
      <c r="C127" s="40" t="s">
        <v>5</v>
      </c>
      <c r="D127" s="40" t="s">
        <v>859</v>
      </c>
      <c r="E127" s="40" t="s">
        <v>840</v>
      </c>
      <c r="F127" s="40">
        <v>20260706</v>
      </c>
      <c r="G127" s="41">
        <v>20260706</v>
      </c>
      <c r="H127" s="41" t="s">
        <v>495</v>
      </c>
      <c r="I127" s="40" t="s">
        <v>489</v>
      </c>
      <c r="J127" s="39" t="s">
        <v>857</v>
      </c>
      <c r="K127" s="39" t="s">
        <v>566</v>
      </c>
      <c r="L127" s="39" t="s">
        <v>566</v>
      </c>
      <c r="M127" s="39" t="s">
        <v>858</v>
      </c>
      <c r="N127" s="39"/>
      <c r="O127" s="39"/>
      <c r="P127" s="39"/>
    </row>
    <row r="128" spans="1:16" s="40" customFormat="1" x14ac:dyDescent="0.25">
      <c r="A128" s="39" t="s">
        <v>885</v>
      </c>
      <c r="B128" s="40" t="s">
        <v>843</v>
      </c>
      <c r="C128" s="40" t="s">
        <v>5</v>
      </c>
      <c r="D128" s="40" t="s">
        <v>859</v>
      </c>
      <c r="E128" s="40" t="s">
        <v>841</v>
      </c>
      <c r="F128" s="40">
        <v>20260706</v>
      </c>
      <c r="G128" s="41">
        <v>20260706</v>
      </c>
      <c r="H128" s="41" t="s">
        <v>495</v>
      </c>
      <c r="I128" s="40" t="s">
        <v>489</v>
      </c>
      <c r="J128" s="39" t="s">
        <v>857</v>
      </c>
      <c r="K128" s="39" t="s">
        <v>566</v>
      </c>
      <c r="L128" s="39" t="s">
        <v>566</v>
      </c>
      <c r="M128" s="39" t="s">
        <v>858</v>
      </c>
      <c r="N128" s="39"/>
      <c r="O128" s="39"/>
      <c r="P128" s="39"/>
    </row>
    <row r="129" spans="1:16" s="40" customFormat="1" x14ac:dyDescent="0.25">
      <c r="A129" s="39" t="s">
        <v>887</v>
      </c>
      <c r="B129" s="42" t="s">
        <v>874</v>
      </c>
      <c r="C129" s="40" t="s">
        <v>5</v>
      </c>
      <c r="D129" s="40" t="s">
        <v>873</v>
      </c>
      <c r="E129" s="40" t="s">
        <v>877</v>
      </c>
      <c r="F129" s="40">
        <v>20260706</v>
      </c>
      <c r="G129" s="41">
        <v>20260706</v>
      </c>
      <c r="H129" s="41" t="s">
        <v>495</v>
      </c>
      <c r="I129" s="40" t="s">
        <v>489</v>
      </c>
      <c r="J129" s="39" t="s">
        <v>566</v>
      </c>
      <c r="K129" s="39" t="s">
        <v>566</v>
      </c>
      <c r="L129" s="39" t="s">
        <v>566</v>
      </c>
      <c r="M129" s="39" t="s">
        <v>858</v>
      </c>
      <c r="N129" s="39"/>
      <c r="O129" s="39"/>
      <c r="P129" s="39"/>
    </row>
    <row r="130" spans="1:16" s="40" customFormat="1" x14ac:dyDescent="0.25">
      <c r="A130" s="39" t="s">
        <v>888</v>
      </c>
      <c r="B130" s="40" t="s">
        <v>875</v>
      </c>
      <c r="C130" s="40" t="s">
        <v>5</v>
      </c>
      <c r="D130" s="40" t="s">
        <v>873</v>
      </c>
      <c r="E130" s="40" t="s">
        <v>876</v>
      </c>
      <c r="F130" s="40">
        <v>20260706</v>
      </c>
      <c r="G130" s="41">
        <v>20260706</v>
      </c>
      <c r="H130" s="41" t="s">
        <v>495</v>
      </c>
      <c r="I130" s="40" t="s">
        <v>489</v>
      </c>
      <c r="J130" s="39" t="s">
        <v>566</v>
      </c>
      <c r="K130" s="39" t="s">
        <v>566</v>
      </c>
      <c r="L130" s="39" t="s">
        <v>566</v>
      </c>
      <c r="M130" s="39" t="s">
        <v>858</v>
      </c>
      <c r="N130" s="39"/>
      <c r="O130" s="39"/>
      <c r="P130" s="39"/>
    </row>
    <row r="131" spans="1:16" s="40" customFormat="1" x14ac:dyDescent="0.25">
      <c r="A131" s="39" t="s">
        <v>889</v>
      </c>
      <c r="B131" s="40" t="s">
        <v>879</v>
      </c>
      <c r="C131" s="40" t="s">
        <v>5</v>
      </c>
      <c r="D131" s="40" t="s">
        <v>873</v>
      </c>
      <c r="E131" s="40" t="s">
        <v>878</v>
      </c>
      <c r="F131" s="40">
        <v>20260706</v>
      </c>
      <c r="G131" s="41">
        <v>20260706</v>
      </c>
      <c r="H131" s="41" t="s">
        <v>495</v>
      </c>
      <c r="I131" s="40" t="s">
        <v>489</v>
      </c>
      <c r="J131" s="39" t="s">
        <v>566</v>
      </c>
      <c r="K131" s="39" t="s">
        <v>566</v>
      </c>
      <c r="L131" s="39" t="s">
        <v>566</v>
      </c>
      <c r="M131" s="39" t="s">
        <v>858</v>
      </c>
      <c r="N131" s="39"/>
      <c r="O131" s="39"/>
      <c r="P131" s="39"/>
    </row>
    <row r="132" spans="1:16" s="40" customFormat="1" x14ac:dyDescent="0.25">
      <c r="A132" s="39" t="s">
        <v>890</v>
      </c>
      <c r="B132" s="40" t="s">
        <v>883</v>
      </c>
      <c r="C132" s="40" t="s">
        <v>5</v>
      </c>
      <c r="D132" s="40" t="s">
        <v>873</v>
      </c>
      <c r="E132" s="40" t="s">
        <v>880</v>
      </c>
      <c r="F132" s="40">
        <v>20260706</v>
      </c>
      <c r="G132" s="41">
        <v>20260706</v>
      </c>
      <c r="H132" s="41" t="s">
        <v>495</v>
      </c>
      <c r="I132" s="40" t="s">
        <v>489</v>
      </c>
      <c r="J132" s="39" t="s">
        <v>566</v>
      </c>
      <c r="K132" s="39" t="s">
        <v>566</v>
      </c>
      <c r="L132" s="39" t="s">
        <v>566</v>
      </c>
      <c r="M132" s="39" t="s">
        <v>858</v>
      </c>
      <c r="N132" s="39"/>
      <c r="O132" s="39"/>
      <c r="P132" s="39"/>
    </row>
    <row r="133" spans="1:16" s="40" customFormat="1" x14ac:dyDescent="0.25">
      <c r="A133" s="39" t="s">
        <v>891</v>
      </c>
      <c r="B133" s="40" t="s">
        <v>882</v>
      </c>
      <c r="C133" s="40" t="s">
        <v>5</v>
      </c>
      <c r="D133" s="40" t="s">
        <v>873</v>
      </c>
      <c r="E133" s="40" t="s">
        <v>881</v>
      </c>
      <c r="F133" s="40">
        <v>20260706</v>
      </c>
      <c r="G133" s="41">
        <v>20260706</v>
      </c>
      <c r="H133" s="41" t="s">
        <v>495</v>
      </c>
      <c r="I133" s="40" t="s">
        <v>489</v>
      </c>
      <c r="J133" s="39" t="s">
        <v>566</v>
      </c>
      <c r="K133" s="39" t="s">
        <v>566</v>
      </c>
      <c r="L133" s="39" t="s">
        <v>566</v>
      </c>
      <c r="M133" s="39" t="s">
        <v>858</v>
      </c>
      <c r="N133" s="39"/>
      <c r="O133" s="39"/>
      <c r="P133" s="39"/>
    </row>
    <row r="134" spans="1:16" s="20" customFormat="1" x14ac:dyDescent="0.25">
      <c r="A134" s="26"/>
      <c r="G134" s="27"/>
      <c r="H134" s="27"/>
      <c r="J134" s="26"/>
      <c r="K134" s="26"/>
      <c r="L134" s="26"/>
      <c r="M134" s="26"/>
      <c r="N134" s="26"/>
      <c r="O134" s="26"/>
      <c r="P134" s="26"/>
    </row>
    <row r="135" spans="1:16" s="20" customFormat="1" x14ac:dyDescent="0.25">
      <c r="A135" s="26"/>
      <c r="G135" s="27"/>
      <c r="H135" s="27"/>
      <c r="J135" s="26"/>
      <c r="K135" s="26"/>
      <c r="L135" s="26"/>
      <c r="M135" s="26"/>
      <c r="N135" s="26"/>
      <c r="O135" s="26"/>
      <c r="P135" s="26"/>
    </row>
    <row r="136" spans="1:16" s="20" customFormat="1" x14ac:dyDescent="0.25">
      <c r="A136" s="26"/>
      <c r="G136" s="27"/>
      <c r="H136" s="27"/>
      <c r="J136" s="26"/>
      <c r="K136" s="26"/>
      <c r="L136" s="26"/>
      <c r="M136" s="26"/>
      <c r="N136" s="26"/>
      <c r="O136" s="26"/>
      <c r="P136" s="26"/>
    </row>
    <row r="137" spans="1:16" s="20" customFormat="1" x14ac:dyDescent="0.25">
      <c r="A137" s="26"/>
      <c r="G137" s="27"/>
      <c r="H137" s="27"/>
      <c r="J137" s="26"/>
      <c r="K137" s="26"/>
      <c r="L137" s="26"/>
      <c r="M137" s="26"/>
      <c r="N137" s="26"/>
      <c r="O137" s="26"/>
      <c r="P137" s="26"/>
    </row>
    <row r="138" spans="1:16" s="20" customFormat="1" x14ac:dyDescent="0.25">
      <c r="A138" s="26"/>
      <c r="G138" s="27"/>
      <c r="H138" s="27"/>
      <c r="J138" s="26"/>
      <c r="K138" s="26"/>
      <c r="L138" s="26"/>
      <c r="M138" s="26"/>
      <c r="N138" s="26"/>
      <c r="O138" s="26"/>
      <c r="P138" s="26"/>
    </row>
    <row r="139" spans="1:16" s="20" customFormat="1" x14ac:dyDescent="0.25">
      <c r="A139" s="26"/>
      <c r="G139" s="27"/>
      <c r="H139" s="27"/>
      <c r="J139" s="26"/>
      <c r="K139" s="26"/>
      <c r="L139" s="26"/>
      <c r="M139" s="26"/>
      <c r="N139" s="26"/>
      <c r="O139" s="26"/>
      <c r="P139" s="26"/>
    </row>
    <row r="140" spans="1:16" s="20" customFormat="1" x14ac:dyDescent="0.25">
      <c r="A140" s="26"/>
      <c r="G140" s="27"/>
      <c r="H140" s="27"/>
      <c r="J140" s="26"/>
      <c r="K140" s="26"/>
      <c r="L140" s="26"/>
      <c r="M140" s="26"/>
      <c r="N140" s="26"/>
      <c r="O140" s="26"/>
      <c r="P140" s="26"/>
    </row>
    <row r="141" spans="1:16" s="20" customFormat="1" x14ac:dyDescent="0.25">
      <c r="A141" s="26"/>
      <c r="G141" s="27"/>
      <c r="H141" s="27"/>
      <c r="J141" s="26"/>
      <c r="K141" s="26"/>
      <c r="L141" s="26"/>
      <c r="M141" s="26"/>
      <c r="N141" s="26"/>
      <c r="O141" s="26"/>
      <c r="P141" s="26"/>
    </row>
    <row r="142" spans="1:16" s="20" customFormat="1" x14ac:dyDescent="0.25">
      <c r="A142" s="26"/>
      <c r="G142" s="27"/>
      <c r="H142" s="27"/>
      <c r="J142" s="26"/>
      <c r="K142" s="26"/>
      <c r="L142" s="26"/>
      <c r="M142" s="26"/>
      <c r="N142" s="26"/>
      <c r="O142" s="26"/>
      <c r="P142" s="26"/>
    </row>
    <row r="143" spans="1:16" s="20" customFormat="1" x14ac:dyDescent="0.25">
      <c r="A143" s="26"/>
      <c r="G143" s="27"/>
      <c r="H143" s="27"/>
      <c r="J143" s="26"/>
      <c r="K143" s="26"/>
      <c r="L143" s="26"/>
      <c r="M143" s="26"/>
      <c r="N143" s="26"/>
      <c r="O143" s="26"/>
      <c r="P143" s="26"/>
    </row>
    <row r="144" spans="1:16" s="20" customFormat="1" x14ac:dyDescent="0.25">
      <c r="A144" s="26"/>
      <c r="G144" s="27"/>
      <c r="H144" s="27"/>
      <c r="J144" s="26"/>
      <c r="K144" s="26"/>
      <c r="L144" s="26"/>
      <c r="M144" s="26"/>
      <c r="N144" s="26"/>
      <c r="O144" s="26"/>
      <c r="P144" s="26"/>
    </row>
    <row r="145" spans="1:16" s="20" customFormat="1" x14ac:dyDescent="0.25">
      <c r="A145" s="26"/>
      <c r="G145" s="27"/>
      <c r="H145" s="27"/>
      <c r="J145" s="26"/>
      <c r="K145" s="26"/>
      <c r="L145" s="26"/>
      <c r="M145" s="26"/>
      <c r="N145" s="26"/>
      <c r="O145" s="26"/>
      <c r="P145" s="26"/>
    </row>
    <row r="146" spans="1:16" s="20" customFormat="1" x14ac:dyDescent="0.25">
      <c r="A146" s="26"/>
      <c r="G146" s="27"/>
      <c r="H146" s="27"/>
      <c r="J146" s="26"/>
      <c r="K146" s="26"/>
      <c r="L146" s="26"/>
      <c r="M146" s="26"/>
      <c r="N146" s="26"/>
      <c r="O146" s="26"/>
      <c r="P146" s="26"/>
    </row>
    <row r="147" spans="1:16" s="20" customFormat="1" x14ac:dyDescent="0.25">
      <c r="A147" s="26"/>
      <c r="G147" s="27"/>
      <c r="H147" s="27"/>
      <c r="J147" s="26"/>
      <c r="K147" s="26"/>
      <c r="L147" s="26"/>
      <c r="M147" s="26"/>
      <c r="N147" s="26"/>
      <c r="O147" s="26"/>
      <c r="P147" s="26"/>
    </row>
    <row r="148" spans="1:16" s="20" customFormat="1" x14ac:dyDescent="0.25">
      <c r="A148" s="26"/>
      <c r="G148" s="27"/>
      <c r="H148" s="27"/>
      <c r="J148" s="26"/>
      <c r="K148" s="26"/>
      <c r="L148" s="26"/>
      <c r="M148" s="26"/>
      <c r="N148" s="26"/>
      <c r="O148" s="26"/>
      <c r="P148" s="26"/>
    </row>
    <row r="149" spans="1:16" s="20" customFormat="1" x14ac:dyDescent="0.25">
      <c r="A149" s="26"/>
    </row>
    <row r="150" spans="1:16" ht="17.25" x14ac:dyDescent="0.3">
      <c r="B150" s="30" t="s">
        <v>701</v>
      </c>
      <c r="C150" t="s">
        <v>702</v>
      </c>
      <c r="D150" t="s">
        <v>703</v>
      </c>
    </row>
    <row r="152" spans="1:16" x14ac:dyDescent="0.25">
      <c r="B152" t="s">
        <v>160</v>
      </c>
      <c r="C152" t="s">
        <v>161</v>
      </c>
      <c r="D152" t="s">
        <v>158</v>
      </c>
      <c r="F152">
        <v>20250705</v>
      </c>
    </row>
    <row r="153" spans="1:16" x14ac:dyDescent="0.25">
      <c r="B153" t="s">
        <v>163</v>
      </c>
      <c r="C153" t="s">
        <v>161</v>
      </c>
      <c r="F153">
        <v>20250705</v>
      </c>
    </row>
    <row r="154" spans="1:16" x14ac:dyDescent="0.25">
      <c r="B154" t="s">
        <v>179</v>
      </c>
      <c r="C154" t="s">
        <v>180</v>
      </c>
      <c r="F154">
        <v>20250705</v>
      </c>
    </row>
    <row r="155" spans="1:16" x14ac:dyDescent="0.25">
      <c r="B155" t="s">
        <v>181</v>
      </c>
      <c r="C155" t="s">
        <v>180</v>
      </c>
      <c r="F155">
        <v>20250705</v>
      </c>
    </row>
    <row r="156" spans="1:16" x14ac:dyDescent="0.25">
      <c r="B156" t="s">
        <v>182</v>
      </c>
      <c r="C156" t="s">
        <v>180</v>
      </c>
      <c r="F156">
        <v>20250705</v>
      </c>
    </row>
    <row r="157" spans="1:16" x14ac:dyDescent="0.25">
      <c r="B157" t="s">
        <v>183</v>
      </c>
      <c r="C157" t="s">
        <v>180</v>
      </c>
      <c r="F157">
        <v>20250705</v>
      </c>
    </row>
    <row r="159" spans="1:16" s="8" customFormat="1" x14ac:dyDescent="0.25"/>
    <row r="160" spans="1:16" x14ac:dyDescent="0.25">
      <c r="A160" t="s">
        <v>602</v>
      </c>
      <c r="B160" t="s">
        <v>603</v>
      </c>
      <c r="E160" s="18" t="s">
        <v>921</v>
      </c>
      <c r="H160" t="s">
        <v>605</v>
      </c>
    </row>
    <row r="162" spans="1:14" x14ac:dyDescent="0.25">
      <c r="A162" t="s">
        <v>601</v>
      </c>
      <c r="B162" s="23" t="s">
        <v>203</v>
      </c>
      <c r="C162" t="s">
        <v>198</v>
      </c>
      <c r="D162" t="s">
        <v>609</v>
      </c>
      <c r="F162">
        <v>20260704</v>
      </c>
      <c r="H162" t="s">
        <v>255</v>
      </c>
    </row>
    <row r="163" spans="1:14" x14ac:dyDescent="0.25">
      <c r="A163" t="s">
        <v>608</v>
      </c>
      <c r="B163" s="23" t="s">
        <v>286</v>
      </c>
      <c r="C163" t="s">
        <v>198</v>
      </c>
      <c r="D163" t="s">
        <v>600</v>
      </c>
      <c r="F163">
        <v>20250718</v>
      </c>
      <c r="H163" s="24" t="s">
        <v>284</v>
      </c>
      <c r="J163" t="s">
        <v>606</v>
      </c>
      <c r="N163" t="s">
        <v>687</v>
      </c>
    </row>
    <row r="164" spans="1:14" ht="17.25" x14ac:dyDescent="0.3">
      <c r="A164" t="s">
        <v>650</v>
      </c>
      <c r="B164" s="30" t="s">
        <v>407</v>
      </c>
      <c r="C164" t="s">
        <v>198</v>
      </c>
      <c r="D164" t="s">
        <v>651</v>
      </c>
      <c r="E164" s="18" t="s">
        <v>665</v>
      </c>
      <c r="F164">
        <v>20250721</v>
      </c>
      <c r="H164" t="s">
        <v>410</v>
      </c>
      <c r="I164" t="s">
        <v>652</v>
      </c>
    </row>
    <row r="165" spans="1:14" x14ac:dyDescent="0.25">
      <c r="A165" t="s">
        <v>658</v>
      </c>
      <c r="B165" s="1" t="s">
        <v>414</v>
      </c>
      <c r="C165" t="s">
        <v>198</v>
      </c>
      <c r="D165" t="s">
        <v>657</v>
      </c>
      <c r="E165" t="s">
        <v>719</v>
      </c>
      <c r="F165">
        <v>20250721</v>
      </c>
      <c r="H165" t="s">
        <v>409</v>
      </c>
    </row>
    <row r="166" spans="1:14" x14ac:dyDescent="0.25">
      <c r="A166" t="s">
        <v>663</v>
      </c>
      <c r="B166" s="1" t="s">
        <v>661</v>
      </c>
      <c r="C166" t="s">
        <v>198</v>
      </c>
      <c r="D166" t="s">
        <v>662</v>
      </c>
      <c r="E166" s="18" t="s">
        <v>666</v>
      </c>
      <c r="F166">
        <v>20260704</v>
      </c>
      <c r="H166" t="s">
        <v>417</v>
      </c>
      <c r="I166" t="s">
        <v>664</v>
      </c>
    </row>
    <row r="167" spans="1:14" x14ac:dyDescent="0.25">
      <c r="A167" t="s">
        <v>675</v>
      </c>
      <c r="B167" s="1" t="s">
        <v>672</v>
      </c>
      <c r="C167" t="s">
        <v>198</v>
      </c>
      <c r="D167" t="s">
        <v>674</v>
      </c>
      <c r="E167" s="18" t="s">
        <v>673</v>
      </c>
      <c r="F167">
        <v>20260705</v>
      </c>
      <c r="H167" t="s">
        <v>418</v>
      </c>
      <c r="I167" t="s">
        <v>676</v>
      </c>
    </row>
    <row r="168" spans="1:14" x14ac:dyDescent="0.25">
      <c r="A168" t="s">
        <v>684</v>
      </c>
      <c r="B168" s="1" t="s">
        <v>685</v>
      </c>
      <c r="C168" t="s">
        <v>198</v>
      </c>
      <c r="D168" t="s">
        <v>686</v>
      </c>
      <c r="F168">
        <v>20260705</v>
      </c>
      <c r="H168" t="s">
        <v>419</v>
      </c>
    </row>
    <row r="169" spans="1:14" x14ac:dyDescent="0.25">
      <c r="A169" t="s">
        <v>784</v>
      </c>
      <c r="B169" s="1" t="s">
        <v>778</v>
      </c>
      <c r="C169" t="s">
        <v>198</v>
      </c>
      <c r="D169" t="s">
        <v>785</v>
      </c>
      <c r="E169" s="18" t="s">
        <v>777</v>
      </c>
      <c r="F169">
        <v>20260705</v>
      </c>
      <c r="H169" t="s">
        <v>779</v>
      </c>
    </row>
    <row r="170" spans="1:14" x14ac:dyDescent="0.25">
      <c r="A170" t="s">
        <v>793</v>
      </c>
      <c r="B170" s="1" t="s">
        <v>792</v>
      </c>
      <c r="C170" t="s">
        <v>198</v>
      </c>
      <c r="D170" t="s">
        <v>794</v>
      </c>
      <c r="E170" s="18" t="s">
        <v>790</v>
      </c>
      <c r="F170">
        <v>20260705</v>
      </c>
      <c r="H170" t="s">
        <v>783</v>
      </c>
    </row>
    <row r="171" spans="1:14" x14ac:dyDescent="0.25">
      <c r="A171" t="s">
        <v>800</v>
      </c>
      <c r="B171" s="1" t="s">
        <v>208</v>
      </c>
      <c r="C171" t="s">
        <v>211</v>
      </c>
      <c r="D171" t="s">
        <v>799</v>
      </c>
      <c r="E171" s="18" t="s">
        <v>216</v>
      </c>
      <c r="F171">
        <v>20250705</v>
      </c>
      <c r="H171" t="s">
        <v>798</v>
      </c>
    </row>
    <row r="172" spans="1:14" x14ac:dyDescent="0.25">
      <c r="A172" t="s">
        <v>808</v>
      </c>
      <c r="B172" s="1" t="s">
        <v>807</v>
      </c>
      <c r="C172" t="s">
        <v>198</v>
      </c>
      <c r="D172" t="s">
        <v>809</v>
      </c>
      <c r="E172" s="18" t="s">
        <v>805</v>
      </c>
      <c r="F172">
        <v>20250705</v>
      </c>
      <c r="H172" t="s">
        <v>810</v>
      </c>
    </row>
    <row r="173" spans="1:14" x14ac:dyDescent="0.25">
      <c r="A173" t="s">
        <v>818</v>
      </c>
      <c r="B173" s="1" t="s">
        <v>816</v>
      </c>
      <c r="C173" t="s">
        <v>198</v>
      </c>
      <c r="D173" t="s">
        <v>817</v>
      </c>
      <c r="F173">
        <v>20250705</v>
      </c>
      <c r="H173" t="s">
        <v>813</v>
      </c>
    </row>
    <row r="174" spans="1:14" x14ac:dyDescent="0.25">
      <c r="A174" t="s">
        <v>821</v>
      </c>
      <c r="B174" s="1" t="s">
        <v>823</v>
      </c>
      <c r="C174" t="s">
        <v>198</v>
      </c>
      <c r="D174" t="s">
        <v>824</v>
      </c>
      <c r="E174" t="s">
        <v>822</v>
      </c>
      <c r="F174">
        <v>20250705</v>
      </c>
      <c r="H174" t="s">
        <v>825</v>
      </c>
    </row>
    <row r="175" spans="1:14" x14ac:dyDescent="0.25">
      <c r="A175" t="s">
        <v>909</v>
      </c>
      <c r="B175" s="1" t="s">
        <v>908</v>
      </c>
      <c r="C175" t="s">
        <v>198</v>
      </c>
      <c r="D175" t="s">
        <v>910</v>
      </c>
      <c r="F175">
        <v>20260706</v>
      </c>
      <c r="H175" t="s">
        <v>911</v>
      </c>
    </row>
    <row r="176" spans="1:14" x14ac:dyDescent="0.25">
      <c r="A176" t="s">
        <v>919</v>
      </c>
      <c r="B176" s="1" t="s">
        <v>631</v>
      </c>
      <c r="C176" t="s">
        <v>198</v>
      </c>
      <c r="D176" t="s">
        <v>918</v>
      </c>
      <c r="E176" t="s">
        <v>632</v>
      </c>
      <c r="F176">
        <v>20260706</v>
      </c>
      <c r="H176" t="s">
        <v>920</v>
      </c>
    </row>
    <row r="177" spans="1:8" x14ac:dyDescent="0.25">
      <c r="A177" t="s">
        <v>960</v>
      </c>
      <c r="B177" s="1" t="s">
        <v>197</v>
      </c>
      <c r="C177" t="s">
        <v>198</v>
      </c>
      <c r="D177" t="s">
        <v>922</v>
      </c>
      <c r="E177" t="s">
        <v>923</v>
      </c>
      <c r="F177">
        <v>20250705</v>
      </c>
    </row>
    <row r="178" spans="1:8" x14ac:dyDescent="0.25">
      <c r="A178" t="s">
        <v>961</v>
      </c>
      <c r="B178" t="s">
        <v>200</v>
      </c>
      <c r="C178" t="s">
        <v>198</v>
      </c>
      <c r="D178" t="s">
        <v>924</v>
      </c>
      <c r="F178">
        <v>20250705</v>
      </c>
      <c r="H178" t="s">
        <v>925</v>
      </c>
    </row>
    <row r="179" spans="1:8" x14ac:dyDescent="0.25">
      <c r="A179" t="s">
        <v>962</v>
      </c>
      <c r="B179" t="s">
        <v>201</v>
      </c>
      <c r="C179" t="s">
        <v>198</v>
      </c>
      <c r="D179" t="s">
        <v>926</v>
      </c>
      <c r="F179">
        <v>20250705</v>
      </c>
      <c r="H179" t="s">
        <v>927</v>
      </c>
    </row>
    <row r="180" spans="1:8" x14ac:dyDescent="0.25">
      <c r="A180" t="s">
        <v>963</v>
      </c>
      <c r="B180" t="s">
        <v>202</v>
      </c>
      <c r="C180" t="s">
        <v>198</v>
      </c>
      <c r="D180" t="s">
        <v>929</v>
      </c>
      <c r="F180">
        <v>20250705</v>
      </c>
      <c r="H180" t="s">
        <v>928</v>
      </c>
    </row>
    <row r="181" spans="1:8" x14ac:dyDescent="0.25">
      <c r="A181" t="s">
        <v>964</v>
      </c>
      <c r="B181" s="1" t="s">
        <v>387</v>
      </c>
      <c r="C181" t="s">
        <v>198</v>
      </c>
      <c r="D181" t="s">
        <v>931</v>
      </c>
      <c r="F181">
        <v>20250705</v>
      </c>
      <c r="H181" t="s">
        <v>930</v>
      </c>
    </row>
    <row r="182" spans="1:8" x14ac:dyDescent="0.25">
      <c r="A182" t="s">
        <v>965</v>
      </c>
      <c r="B182" s="1" t="s">
        <v>204</v>
      </c>
      <c r="C182" t="s">
        <v>198</v>
      </c>
      <c r="D182" t="s">
        <v>933</v>
      </c>
      <c r="F182">
        <v>20250705</v>
      </c>
      <c r="H182" t="s">
        <v>932</v>
      </c>
    </row>
    <row r="183" spans="1:8" x14ac:dyDescent="0.25">
      <c r="A183" t="s">
        <v>966</v>
      </c>
      <c r="B183" s="1" t="s">
        <v>205</v>
      </c>
      <c r="C183" t="s">
        <v>211</v>
      </c>
      <c r="D183" t="s">
        <v>936</v>
      </c>
      <c r="E183" s="18" t="s">
        <v>935</v>
      </c>
      <c r="F183">
        <v>20250705</v>
      </c>
      <c r="H183" t="s">
        <v>934</v>
      </c>
    </row>
    <row r="184" spans="1:8" x14ac:dyDescent="0.25">
      <c r="A184" t="s">
        <v>967</v>
      </c>
      <c r="B184" s="1" t="s">
        <v>206</v>
      </c>
      <c r="C184" t="s">
        <v>198</v>
      </c>
      <c r="D184" t="s">
        <v>938</v>
      </c>
      <c r="F184">
        <v>20250705</v>
      </c>
      <c r="H184" t="s">
        <v>937</v>
      </c>
    </row>
    <row r="185" spans="1:8" x14ac:dyDescent="0.25">
      <c r="A185" t="s">
        <v>968</v>
      </c>
      <c r="B185" s="1" t="s">
        <v>207</v>
      </c>
      <c r="C185" t="s">
        <v>198</v>
      </c>
      <c r="D185" t="s">
        <v>940</v>
      </c>
      <c r="F185">
        <v>20250705</v>
      </c>
      <c r="H185" t="s">
        <v>939</v>
      </c>
    </row>
    <row r="186" spans="1:8" x14ac:dyDescent="0.25">
      <c r="A186" t="s">
        <v>969</v>
      </c>
      <c r="B186" s="1" t="s">
        <v>208</v>
      </c>
      <c r="C186" t="s">
        <v>198</v>
      </c>
      <c r="F186">
        <v>20250705</v>
      </c>
    </row>
    <row r="187" spans="1:8" x14ac:dyDescent="0.25">
      <c r="A187" t="s">
        <v>970</v>
      </c>
      <c r="B187" s="1" t="s">
        <v>209</v>
      </c>
      <c r="C187" t="s">
        <v>198</v>
      </c>
      <c r="D187" t="s">
        <v>941</v>
      </c>
      <c r="F187">
        <v>20250705</v>
      </c>
      <c r="H187" t="s">
        <v>942</v>
      </c>
    </row>
    <row r="188" spans="1:8" x14ac:dyDescent="0.25">
      <c r="A188" t="s">
        <v>971</v>
      </c>
      <c r="B188" s="1" t="s">
        <v>210</v>
      </c>
      <c r="C188" t="s">
        <v>211</v>
      </c>
      <c r="D188" t="s">
        <v>943</v>
      </c>
      <c r="E188" t="s">
        <v>212</v>
      </c>
      <c r="F188">
        <v>20250705</v>
      </c>
      <c r="H188" t="s">
        <v>212</v>
      </c>
    </row>
    <row r="189" spans="1:8" x14ac:dyDescent="0.25">
      <c r="A189" t="s">
        <v>972</v>
      </c>
      <c r="B189" s="1" t="s">
        <v>945</v>
      </c>
      <c r="C189" t="s">
        <v>211</v>
      </c>
      <c r="D189" t="s">
        <v>944</v>
      </c>
      <c r="E189" s="18" t="s">
        <v>946</v>
      </c>
      <c r="F189">
        <v>20250705</v>
      </c>
      <c r="H189" t="s">
        <v>946</v>
      </c>
    </row>
    <row r="190" spans="1:8" x14ac:dyDescent="0.25">
      <c r="A190" t="s">
        <v>973</v>
      </c>
      <c r="B190" s="1" t="s">
        <v>213</v>
      </c>
      <c r="C190" t="s">
        <v>211</v>
      </c>
      <c r="F190">
        <v>20250705</v>
      </c>
    </row>
    <row r="191" spans="1:8" x14ac:dyDescent="0.25">
      <c r="A191" t="s">
        <v>974</v>
      </c>
      <c r="B191" t="s">
        <v>214</v>
      </c>
      <c r="C191" t="s">
        <v>211</v>
      </c>
      <c r="D191" t="s">
        <v>947</v>
      </c>
      <c r="E191" s="18" t="s">
        <v>215</v>
      </c>
      <c r="F191">
        <v>20250705</v>
      </c>
    </row>
    <row r="192" spans="1:8" x14ac:dyDescent="0.25">
      <c r="A192" t="s">
        <v>975</v>
      </c>
      <c r="B192" s="1" t="s">
        <v>668</v>
      </c>
      <c r="C192" t="s">
        <v>211</v>
      </c>
      <c r="D192" t="s">
        <v>982</v>
      </c>
      <c r="E192" t="s">
        <v>777</v>
      </c>
      <c r="F192">
        <v>20250705</v>
      </c>
    </row>
    <row r="193" spans="1:8" x14ac:dyDescent="0.25">
      <c r="A193" t="s">
        <v>976</v>
      </c>
      <c r="B193" s="1" t="s">
        <v>290</v>
      </c>
      <c r="C193" t="s">
        <v>198</v>
      </c>
      <c r="D193" t="s">
        <v>948</v>
      </c>
      <c r="F193">
        <v>20250718</v>
      </c>
      <c r="H193" t="s">
        <v>949</v>
      </c>
    </row>
    <row r="194" spans="1:8" x14ac:dyDescent="0.25">
      <c r="A194" t="s">
        <v>977</v>
      </c>
      <c r="B194" s="1" t="s">
        <v>304</v>
      </c>
      <c r="C194" t="s">
        <v>198</v>
      </c>
      <c r="D194" t="s">
        <v>951</v>
      </c>
      <c r="F194">
        <v>20250718</v>
      </c>
      <c r="H194" t="s">
        <v>950</v>
      </c>
    </row>
    <row r="195" spans="1:8" x14ac:dyDescent="0.25">
      <c r="A195" t="s">
        <v>978</v>
      </c>
      <c r="B195" t="s">
        <v>315</v>
      </c>
      <c r="C195" t="s">
        <v>198</v>
      </c>
      <c r="D195" t="s">
        <v>953</v>
      </c>
      <c r="F195">
        <v>20250718</v>
      </c>
      <c r="H195" t="s">
        <v>952</v>
      </c>
    </row>
    <row r="196" spans="1:8" x14ac:dyDescent="0.25">
      <c r="A196" t="s">
        <v>979</v>
      </c>
      <c r="B196" s="1" t="s">
        <v>320</v>
      </c>
      <c r="C196" t="s">
        <v>198</v>
      </c>
      <c r="D196" t="s">
        <v>955</v>
      </c>
      <c r="F196">
        <v>20250718</v>
      </c>
      <c r="H196" t="s">
        <v>954</v>
      </c>
    </row>
    <row r="197" spans="1:8" ht="15" customHeight="1" x14ac:dyDescent="0.25">
      <c r="A197" t="s">
        <v>980</v>
      </c>
      <c r="B197" s="23" t="s">
        <v>330</v>
      </c>
      <c r="C197" t="s">
        <v>198</v>
      </c>
      <c r="D197" t="s">
        <v>956</v>
      </c>
      <c r="F197">
        <v>20250718</v>
      </c>
      <c r="H197" t="s">
        <v>957</v>
      </c>
    </row>
    <row r="198" spans="1:8" x14ac:dyDescent="0.25">
      <c r="A198" t="s">
        <v>981</v>
      </c>
      <c r="B198" s="1" t="s">
        <v>355</v>
      </c>
      <c r="C198" t="s">
        <v>198</v>
      </c>
      <c r="D198" t="s">
        <v>958</v>
      </c>
      <c r="F198">
        <v>20250719</v>
      </c>
      <c r="H198" t="s">
        <v>959</v>
      </c>
    </row>
    <row r="202" spans="1:8" x14ac:dyDescent="0.25">
      <c r="B202" s="1"/>
    </row>
    <row r="203" spans="1:8" x14ac:dyDescent="0.25">
      <c r="B203" s="1"/>
    </row>
    <row r="204" spans="1:8" x14ac:dyDescent="0.25">
      <c r="B204" s="1"/>
    </row>
    <row r="205" spans="1:8" x14ac:dyDescent="0.25">
      <c r="B205" s="1"/>
    </row>
    <row r="206" spans="1:8" x14ac:dyDescent="0.25">
      <c r="B206" s="1"/>
    </row>
    <row r="207" spans="1:8" x14ac:dyDescent="0.25">
      <c r="B207" s="1"/>
    </row>
    <row r="209" spans="2:14" x14ac:dyDescent="0.25">
      <c r="N209" t="s">
        <v>162</v>
      </c>
    </row>
    <row r="210" spans="2:14" x14ac:dyDescent="0.25">
      <c r="N210" t="s">
        <v>164</v>
      </c>
    </row>
    <row r="214" spans="2:14" x14ac:dyDescent="0.25">
      <c r="N214" t="s">
        <v>184</v>
      </c>
    </row>
    <row r="215" spans="2:14" x14ac:dyDescent="0.25">
      <c r="B215" t="s">
        <v>185</v>
      </c>
      <c r="C215" t="s">
        <v>186</v>
      </c>
      <c r="F215">
        <v>20250705</v>
      </c>
    </row>
    <row r="216" spans="2:14" x14ac:dyDescent="0.25">
      <c r="B216" t="s">
        <v>187</v>
      </c>
      <c r="C216" t="s">
        <v>186</v>
      </c>
      <c r="F216">
        <v>20250705</v>
      </c>
    </row>
    <row r="217" spans="2:14" x14ac:dyDescent="0.25">
      <c r="B217" t="s">
        <v>188</v>
      </c>
      <c r="C217" t="s">
        <v>186</v>
      </c>
      <c r="F217">
        <v>20250705</v>
      </c>
    </row>
    <row r="218" spans="2:14" x14ac:dyDescent="0.25">
      <c r="B218" t="s">
        <v>189</v>
      </c>
      <c r="C218" t="s">
        <v>190</v>
      </c>
      <c r="E218" t="s">
        <v>191</v>
      </c>
      <c r="F218">
        <v>20250705</v>
      </c>
    </row>
    <row r="219" spans="2:14" x14ac:dyDescent="0.25">
      <c r="B219" t="s">
        <v>192</v>
      </c>
      <c r="C219" t="s">
        <v>193</v>
      </c>
      <c r="F219">
        <v>20250705</v>
      </c>
    </row>
    <row r="220" spans="2:14" x14ac:dyDescent="0.25">
      <c r="B220" t="s">
        <v>194</v>
      </c>
      <c r="C220" t="s">
        <v>186</v>
      </c>
      <c r="F220">
        <v>20250705</v>
      </c>
    </row>
    <row r="221" spans="2:14" x14ac:dyDescent="0.25">
      <c r="B221" t="s">
        <v>195</v>
      </c>
      <c r="C221" t="s">
        <v>196</v>
      </c>
      <c r="F221">
        <v>20250705</v>
      </c>
    </row>
    <row r="222" spans="2:14" x14ac:dyDescent="0.25">
      <c r="K222" t="s">
        <v>297</v>
      </c>
      <c r="L222" t="s">
        <v>302</v>
      </c>
      <c r="N222" t="s">
        <v>199</v>
      </c>
    </row>
    <row r="226" spans="2:14" x14ac:dyDescent="0.25">
      <c r="K226" t="s">
        <v>328</v>
      </c>
      <c r="N226" t="s">
        <v>331</v>
      </c>
    </row>
    <row r="227" spans="2:14" x14ac:dyDescent="0.25">
      <c r="K227" t="s">
        <v>347</v>
      </c>
      <c r="N227" t="s">
        <v>356</v>
      </c>
    </row>
    <row r="230" spans="2:14" x14ac:dyDescent="0.25">
      <c r="B230" s="23"/>
      <c r="I230" s="3"/>
      <c r="N230" t="s">
        <v>411</v>
      </c>
    </row>
    <row r="231" spans="2:14" x14ac:dyDescent="0.25">
      <c r="N231" t="s">
        <v>415</v>
      </c>
    </row>
    <row r="239" spans="2:14" x14ac:dyDescent="0.25">
      <c r="C239" t="s">
        <v>337</v>
      </c>
      <c r="F239" t="s">
        <v>338</v>
      </c>
      <c r="J239" t="s">
        <v>339</v>
      </c>
    </row>
    <row r="246" spans="3:8" x14ac:dyDescent="0.25">
      <c r="C246" t="s">
        <v>368</v>
      </c>
    </row>
    <row r="249" spans="3:8" x14ac:dyDescent="0.25">
      <c r="C249" t="s">
        <v>388</v>
      </c>
      <c r="F249" t="s">
        <v>389</v>
      </c>
    </row>
    <row r="251" spans="3:8" x14ac:dyDescent="0.25">
      <c r="C251" t="s">
        <v>391</v>
      </c>
      <c r="F251" t="s">
        <v>390</v>
      </c>
    </row>
    <row r="252" spans="3:8" x14ac:dyDescent="0.25">
      <c r="C252" t="s">
        <v>393</v>
      </c>
      <c r="F252" s="5" t="s">
        <v>392</v>
      </c>
      <c r="G252" s="5"/>
      <c r="H252" s="5"/>
    </row>
    <row r="253" spans="3:8" x14ac:dyDescent="0.25">
      <c r="C253" t="s">
        <v>395</v>
      </c>
      <c r="F253" t="s">
        <v>394</v>
      </c>
    </row>
    <row r="255" spans="3:8" x14ac:dyDescent="0.25">
      <c r="C255" t="s">
        <v>397</v>
      </c>
      <c r="F255" t="s">
        <v>396</v>
      </c>
    </row>
    <row r="257" spans="3:11" x14ac:dyDescent="0.25">
      <c r="C257" t="s">
        <v>399</v>
      </c>
      <c r="F257" s="5" t="s">
        <v>398</v>
      </c>
      <c r="G257" s="5"/>
      <c r="H257" s="5"/>
    </row>
    <row r="259" spans="3:11" x14ac:dyDescent="0.25">
      <c r="C259" t="s">
        <v>401</v>
      </c>
      <c r="F259" t="s">
        <v>400</v>
      </c>
    </row>
    <row r="261" spans="3:11" x14ac:dyDescent="0.25">
      <c r="C261" t="s">
        <v>402</v>
      </c>
      <c r="F261" t="s">
        <v>403</v>
      </c>
    </row>
    <row r="262" spans="3:11" x14ac:dyDescent="0.25">
      <c r="C262" t="s">
        <v>438</v>
      </c>
      <c r="F262" t="s">
        <v>439</v>
      </c>
      <c r="K262" t="s">
        <v>440</v>
      </c>
    </row>
    <row r="263" spans="3:11" x14ac:dyDescent="0.25">
      <c r="C263" s="1" t="s">
        <v>437</v>
      </c>
      <c r="F263" t="s">
        <v>436</v>
      </c>
    </row>
    <row r="266" spans="3:11" x14ac:dyDescent="0.25">
      <c r="C266" s="1" t="s">
        <v>433</v>
      </c>
      <c r="F266" t="s">
        <v>432</v>
      </c>
    </row>
    <row r="268" spans="3:11" x14ac:dyDescent="0.25">
      <c r="C268" t="s">
        <v>444</v>
      </c>
      <c r="F268" t="s">
        <v>443</v>
      </c>
    </row>
    <row r="271" spans="3:11" x14ac:dyDescent="0.25">
      <c r="C271" t="s">
        <v>431</v>
      </c>
      <c r="F271" t="s">
        <v>430</v>
      </c>
    </row>
    <row r="274" spans="3:15" x14ac:dyDescent="0.25">
      <c r="C274" t="s">
        <v>435</v>
      </c>
      <c r="F274" t="s">
        <v>434</v>
      </c>
    </row>
    <row r="278" spans="3:15" x14ac:dyDescent="0.25">
      <c r="C278" t="s">
        <v>442</v>
      </c>
      <c r="F278" t="s">
        <v>441</v>
      </c>
    </row>
    <row r="280" spans="3:15" x14ac:dyDescent="0.25">
      <c r="C280" s="1" t="s">
        <v>446</v>
      </c>
      <c r="F280" t="s">
        <v>445</v>
      </c>
      <c r="O280" t="s">
        <v>447</v>
      </c>
    </row>
    <row r="282" spans="3:15" x14ac:dyDescent="0.25">
      <c r="C282" t="s">
        <v>449</v>
      </c>
      <c r="F282" t="s">
        <v>448</v>
      </c>
    </row>
    <row r="284" spans="3:15" x14ac:dyDescent="0.25">
      <c r="C284" t="s">
        <v>451</v>
      </c>
      <c r="F284" t="s">
        <v>450</v>
      </c>
    </row>
    <row r="286" spans="3:15" x14ac:dyDescent="0.25">
      <c r="C286" t="s">
        <v>453</v>
      </c>
      <c r="F286" t="s">
        <v>452</v>
      </c>
    </row>
    <row r="288" spans="3:15" x14ac:dyDescent="0.25">
      <c r="C288" t="s">
        <v>455</v>
      </c>
      <c r="F288" t="s">
        <v>454</v>
      </c>
    </row>
    <row r="290" spans="3:13" x14ac:dyDescent="0.25">
      <c r="C290" t="s">
        <v>457</v>
      </c>
      <c r="F290" t="s">
        <v>456</v>
      </c>
    </row>
    <row r="293" spans="3:13" x14ac:dyDescent="0.25">
      <c r="C293" t="s">
        <v>458</v>
      </c>
      <c r="F293" t="s">
        <v>459</v>
      </c>
      <c r="M293" t="s">
        <v>460</v>
      </c>
    </row>
    <row r="295" spans="3:13" x14ac:dyDescent="0.25">
      <c r="C295" t="s">
        <v>462</v>
      </c>
      <c r="F295" t="s">
        <v>461</v>
      </c>
    </row>
    <row r="298" spans="3:13" x14ac:dyDescent="0.25">
      <c r="C298" t="s">
        <v>464</v>
      </c>
      <c r="F298" t="s">
        <v>463</v>
      </c>
    </row>
    <row r="300" spans="3:13" x14ac:dyDescent="0.25">
      <c r="C300" s="1" t="s">
        <v>466</v>
      </c>
      <c r="F300" t="s">
        <v>465</v>
      </c>
    </row>
    <row r="302" spans="3:13" x14ac:dyDescent="0.25">
      <c r="C302" t="s">
        <v>468</v>
      </c>
      <c r="F302" t="s">
        <v>467</v>
      </c>
    </row>
    <row r="304" spans="3:13" x14ac:dyDescent="0.25">
      <c r="C304" t="s">
        <v>470</v>
      </c>
      <c r="F304" t="s">
        <v>469</v>
      </c>
    </row>
    <row r="306" spans="3:6" x14ac:dyDescent="0.25">
      <c r="C306" t="s">
        <v>391</v>
      </c>
      <c r="F306" t="s">
        <v>390</v>
      </c>
    </row>
    <row r="307" spans="3:6" x14ac:dyDescent="0.25">
      <c r="C307" t="s">
        <v>471</v>
      </c>
    </row>
    <row r="308" spans="3:6" x14ac:dyDescent="0.25">
      <c r="C308" t="s">
        <v>477</v>
      </c>
      <c r="F308" t="s">
        <v>476</v>
      </c>
    </row>
    <row r="309" spans="3:6" x14ac:dyDescent="0.25">
      <c r="C309" t="s">
        <v>479</v>
      </c>
      <c r="F309" t="s">
        <v>478</v>
      </c>
    </row>
    <row r="313" spans="3:6" x14ac:dyDescent="0.25">
      <c r="C313" s="1" t="s">
        <v>473</v>
      </c>
      <c r="F313" t="s">
        <v>472</v>
      </c>
    </row>
    <row r="314" spans="3:6" x14ac:dyDescent="0.25">
      <c r="C314" t="s">
        <v>475</v>
      </c>
      <c r="F314" t="s">
        <v>474</v>
      </c>
    </row>
    <row r="316" spans="3:6" x14ac:dyDescent="0.25">
      <c r="C316" s="1" t="s">
        <v>481</v>
      </c>
      <c r="F316" t="s">
        <v>480</v>
      </c>
    </row>
    <row r="318" spans="3:6" x14ac:dyDescent="0.25">
      <c r="C318" t="s">
        <v>482</v>
      </c>
      <c r="F318" t="s">
        <v>483</v>
      </c>
    </row>
    <row r="320" spans="3:6" x14ac:dyDescent="0.25">
      <c r="C320" t="s">
        <v>485</v>
      </c>
      <c r="F320" t="s">
        <v>484</v>
      </c>
    </row>
    <row r="322" spans="2:6" x14ac:dyDescent="0.25">
      <c r="C322" t="s">
        <v>487</v>
      </c>
      <c r="F322" t="s">
        <v>486</v>
      </c>
    </row>
    <row r="326" spans="2:6" x14ac:dyDescent="0.25">
      <c r="C326" s="1" t="s">
        <v>667</v>
      </c>
    </row>
    <row r="330" spans="2:6" x14ac:dyDescent="0.25">
      <c r="D330" t="s">
        <v>571</v>
      </c>
    </row>
    <row r="333" spans="2:6" x14ac:dyDescent="0.25">
      <c r="B333" t="s">
        <v>225</v>
      </c>
      <c r="C333" t="s">
        <v>690</v>
      </c>
    </row>
    <row r="339" spans="2:2" x14ac:dyDescent="0.25">
      <c r="B339" t="s">
        <v>872</v>
      </c>
    </row>
  </sheetData>
  <phoneticPr fontId="6" type="noConversion"/>
  <hyperlinks>
    <hyperlink ref="B38" r:id="rId1" xr:uid="{6ED36FF7-7894-4BF2-8BAB-23B622A43109}"/>
    <hyperlink ref="B35" r:id="rId2" xr:uid="{F6AC331E-901C-470E-B02F-138D4D205CEF}"/>
    <hyperlink ref="B43" r:id="rId3" xr:uid="{52E9B753-8BCA-4BD1-B6FF-0BABFE2B1F81}"/>
    <hyperlink ref="B41" r:id="rId4" xr:uid="{3863EC62-908E-431E-86E8-43542AB007EC}"/>
    <hyperlink ref="B46" r:id="rId5" xr:uid="{79A90752-AB18-43B1-89F8-9765FA9E4429}"/>
    <hyperlink ref="B60" r:id="rId6" xr:uid="{7039B2F8-4F22-4F08-9695-6AAC07DFF8F6}"/>
    <hyperlink ref="B61" r:id="rId7" display="https://doi.org/10.1016/j.cell.2015.05.047" xr:uid="{4C97DB36-D4E0-4E9D-BC7C-E74839D1F279}"/>
    <hyperlink ref="B63" r:id="rId8" xr:uid="{68380FA2-5685-4F4C-8886-4DEE5324E649}"/>
    <hyperlink ref="B65" r:id="rId9" xr:uid="{74E4E122-11FD-4792-BF3B-A838C5E71A66}"/>
    <hyperlink ref="B76" r:id="rId10" tooltip="Persistent link using digital object identifier" xr:uid="{C26ACD2E-F2F9-4B8C-8ECD-F15A148263A4}"/>
    <hyperlink ref="B98" r:id="rId11" xr:uid="{D96E25DE-8A96-4042-BA4C-67EFE2282993}"/>
    <hyperlink ref="B100" r:id="rId12" xr:uid="{7DE988BC-AA1D-4AEA-A97A-C6DAE585F7D5}"/>
    <hyperlink ref="B101" r:id="rId13" xr:uid="{80E71E9C-6793-4B6D-84CA-2D8AC65E4218}"/>
    <hyperlink ref="B103" r:id="rId14" xr:uid="{43B121C2-1B8C-4E79-851C-5575770F5136}"/>
    <hyperlink ref="B109" r:id="rId15" xr:uid="{42B4ABFE-E633-4A8C-9E7A-1179910E3AFE}"/>
    <hyperlink ref="B110" r:id="rId16" tooltip="Persistent link using digital object identifier" xr:uid="{E8D600F4-3C9B-49D0-8736-8B37253BBD81}"/>
    <hyperlink ref="B111" r:id="rId17" tooltip="Persistent link using digital object identifier" xr:uid="{264CA4EA-1685-469B-84A0-825FB2DAA706}"/>
    <hyperlink ref="B20" r:id="rId18" tooltip="Persistent link using digital object identifier" xr:uid="{E691F355-48BE-4EA3-A446-6DFC7DFE55EC}"/>
    <hyperlink ref="B39" r:id="rId19" xr:uid="{5D7152B9-6018-456C-A654-E9DAD9C4B34F}"/>
    <hyperlink ref="B42" r:id="rId20" xr:uid="{39641E9B-8607-4EB1-A1B0-377B4A656023}"/>
    <hyperlink ref="B45" r:id="rId21" xr:uid="{200CF426-F3C6-4FF8-A0F2-DABF1BC402D9}"/>
    <hyperlink ref="B64" r:id="rId22" xr:uid="{17A8AC84-D810-4748-BBF7-D7EE8F1B38A3}"/>
    <hyperlink ref="B66" r:id="rId23" xr:uid="{2884889B-8DA4-4B60-A83F-D320696A03BB}"/>
    <hyperlink ref="B68" r:id="rId24" xr:uid="{4A289C02-F745-4B9A-A19A-6C0692744602}"/>
    <hyperlink ref="B69" r:id="rId25" xr:uid="{2578ED1E-2483-4596-905D-9F11BCAE727F}"/>
    <hyperlink ref="B106" r:id="rId26" xr:uid="{AFAB99D2-444C-458E-A452-FB1F613F95C8}"/>
    <hyperlink ref="B107" r:id="rId27" xr:uid="{6B7712AD-5496-42CB-8FC0-C2018217EEAC}"/>
    <hyperlink ref="B108" r:id="rId28" xr:uid="{D89D07C5-446C-448E-84F7-EE7C527A9BFE}"/>
    <hyperlink ref="B112" r:id="rId29" xr:uid="{2748241E-92CA-48CA-A0ED-6B7944C48681}"/>
    <hyperlink ref="B180" r:id="rId30" xr:uid="{A2B9177C-384B-4EC2-8030-A2C3CEBBFA17}"/>
    <hyperlink ref="B179" r:id="rId31" xr:uid="{721DDE9F-E31D-4BDD-A501-F9C8B3F547CA}"/>
    <hyperlink ref="B219" r:id="rId32" xr:uid="{39FC2C73-82F0-4888-A592-E8A84D024FC9}"/>
    <hyperlink ref="B177" r:id="rId33" xr:uid="{106AB0F9-932E-4923-90E8-45CF479C803E}"/>
    <hyperlink ref="B221" r:id="rId34" display="https://doi.org/10.1007/s00281-022-00974-0" xr:uid="{D5ECB0C6-3538-409A-A0EC-7CB88000EDB9}"/>
    <hyperlink ref="B178" r:id="rId35" tooltip="Persistent link using digital object identifier" xr:uid="{9D3E2510-882C-46B8-958F-399846C59502}"/>
    <hyperlink ref="B157" r:id="rId36" xr:uid="{7905B62C-7B52-48A5-965B-D3E915F6EBA6}"/>
    <hyperlink ref="B119" r:id="rId37" tooltip="Persistent link using digital object identifier" xr:uid="{33C49AC1-C70C-42AB-9A56-FCB717F516E1}"/>
    <hyperlink ref="B191" r:id="rId38" xr:uid="{88B9B42F-0137-42F7-A6D2-521347710E1E}"/>
    <hyperlink ref="B153" r:id="rId39" xr:uid="{C6FA79D9-0A8F-4B3D-BD4B-254D88B437C7}"/>
    <hyperlink ref="B121" r:id="rId40" xr:uid="{81A26C29-094B-4CD2-89FF-437F608907AD}"/>
    <hyperlink ref="B126" r:id="rId41" display="https://doi.org/10.1016/j.cels.2021.09.012" xr:uid="{20D94477-8F84-4A8C-AF0E-4F07D98FB8AE}"/>
    <hyperlink ref="B15" r:id="rId42" xr:uid="{423BC17E-A488-433B-99BD-5C2FF58C54F2}"/>
    <hyperlink ref="B16" r:id="rId43" xr:uid="{6CBA33C2-51BA-440C-B10B-98B6DB0AE12C}"/>
    <hyperlink ref="B17" r:id="rId44" xr:uid="{76E18F84-B397-4019-AF3E-13872D08F144}"/>
    <hyperlink ref="B193" r:id="rId45" tooltip="Persistent link using digital object identifier" xr:uid="{F286BD04-750E-40D0-97E9-3D1092955E09}"/>
    <hyperlink ref="B18" r:id="rId46" xr:uid="{81FE365B-E876-4C71-B719-2106C7BFCCFA}"/>
    <hyperlink ref="B19" r:id="rId47" xr:uid="{0947C170-1AE8-431E-B251-6BEF0B158E5C}"/>
    <hyperlink ref="B194" r:id="rId48" xr:uid="{66CBB7FB-A188-48BB-8A37-B6B44ABE8486}"/>
    <hyperlink ref="B196" r:id="rId49" display="https://dx.doi.org/10.1007%2Fs00262-025-04123-y" xr:uid="{D4F47B67-F0BE-4782-9B04-1A2F20BF321C}"/>
    <hyperlink ref="B30" r:id="rId50" xr:uid="{43DB60DD-3DF3-4CD3-ADD3-1B6802DC308C}"/>
    <hyperlink ref="B31" r:id="rId51" xr:uid="{1ADF9499-BF38-4518-8424-7A7A698E853E}"/>
    <hyperlink ref="B198" r:id="rId52" display="https://doi.org/10.1016/j.celrep.2023.113494" xr:uid="{209F23B5-9341-4733-AD31-776F713BBC8B}"/>
    <hyperlink ref="B32" r:id="rId53" xr:uid="{D36735AF-AC6A-438B-88CF-2C6A4F3D7C68}"/>
    <hyperlink ref="B33" r:id="rId54" xr:uid="{E86BF285-DCDB-4049-BF4F-184C6D1F5093}"/>
    <hyperlink ref="B34" r:id="rId55" xr:uid="{C09C4114-1DD4-4FD3-BA5C-5530A9CE1E25}"/>
    <hyperlink ref="B36" r:id="rId56" xr:uid="{C3F683C6-B56D-4AD3-BEB8-2B4A106992BC}"/>
    <hyperlink ref="B37" r:id="rId57" xr:uid="{E664B868-7E00-4A88-B6B6-CE7218628425}"/>
    <hyperlink ref="B116" r:id="rId58" xr:uid="{0E63FD2F-D8B0-456E-B947-D6F2577EECBE}"/>
    <hyperlink ref="B182" r:id="rId59" xr:uid="{32046AE7-AF79-4E02-9E0C-986B73776CD8}"/>
    <hyperlink ref="B181" r:id="rId60" xr:uid="{CDCEA956-0576-4A6A-B86C-606165DE12B4}"/>
    <hyperlink ref="B183" r:id="rId61" xr:uid="{30AAE9A4-6F16-4EE4-BB2A-31B89E6F1608}"/>
    <hyperlink ref="B165" r:id="rId62" display="https://doi.org/10.1126/science.aau5324" xr:uid="{8040AC30-4483-43B5-8985-66A3C47C765D}"/>
    <hyperlink ref="B40" r:id="rId63" xr:uid="{6BB26C7E-426A-47F1-A785-9F69A6BAEC86}"/>
    <hyperlink ref="C266" r:id="rId64" xr:uid="{AF060343-3F11-42E3-8F9F-17CC86D586FD}"/>
    <hyperlink ref="C263" r:id="rId65" xr:uid="{FB2BF31B-3BDD-4723-A445-D205F2D04FD1}"/>
    <hyperlink ref="C280" r:id="rId66" xr:uid="{79983001-22FC-4DC1-8DC7-A02DA17D7624}"/>
    <hyperlink ref="C300" r:id="rId67" xr:uid="{2A1EC9FD-6214-4836-ABFE-124D147ECD8A}"/>
    <hyperlink ref="C313" r:id="rId68" xr:uid="{78EF2696-D1F2-401C-AB0E-5950028C5ED8}"/>
    <hyperlink ref="C316" r:id="rId69" xr:uid="{EC5F1498-228C-4F7C-A405-590D3D3300C8}"/>
    <hyperlink ref="B163" r:id="rId70" display="https://doi.org/10.1016/j.cmet.2019.01.003" xr:uid="{0D8337FD-F4D0-4F03-A32B-AE1580B2420F}"/>
    <hyperlink ref="B162" r:id="rId71" display="https://doi.org/10.1038/s41586-019-1876-x" xr:uid="{F69FCCFF-F152-4948-B1BD-4D162DFFBAA1}"/>
    <hyperlink ref="B27" r:id="rId72" xr:uid="{B59F3096-CD9D-477F-90A6-0EF7E0C3ED55}"/>
    <hyperlink ref="B47" r:id="rId73" xr:uid="{033A0259-D3FE-43EF-80B7-CD28C08FBE3D}"/>
    <hyperlink ref="B48" r:id="rId74" xr:uid="{924E8D1C-34C9-485F-82DC-0D9AE8617F34}"/>
    <hyperlink ref="B49" r:id="rId75" display="https://doi.org/10.1109/ISBI.2011.5872394" xr:uid="{48AA92AA-FC6B-42E0-8BA1-819772506EA5}"/>
    <hyperlink ref="B176" r:id="rId76" display="https://doi.org/10.1016/j.cell.2018.08.039" xr:uid="{C587E4CB-FE52-45DC-8574-9C793ADC8692}"/>
    <hyperlink ref="B50" r:id="rId77" display="https://doi.org/10.1016/j.cels.2020.04.003" xr:uid="{2C48D88D-316A-402F-AD0C-2E6DBD860500}"/>
    <hyperlink ref="B166" r:id="rId78" display="https://doi.org/10.1126/science.aat5691" xr:uid="{6A33409E-6389-496D-9A06-2B26B9ED67C0}"/>
    <hyperlink ref="C326" r:id="rId79" display="https://doi.org/10.1126/science.adn9947" xr:uid="{C2E65DC3-CA4C-4EBF-9738-5FE0ACCC2185}"/>
    <hyperlink ref="B192" r:id="rId80" display="https://doi.org/10.1126/science.aaw1219" xr:uid="{FABB41B4-F33A-433E-A10E-F5EA9A01E9D6}"/>
    <hyperlink ref="B67" r:id="rId81" xr:uid="{27C6144E-7638-47B0-AF16-3D44165066EE}"/>
    <hyperlink ref="B171" r:id="rId82" xr:uid="{B004B37B-841A-4964-9548-023FF5034C8D}"/>
    <hyperlink ref="B129" r:id="rId83" xr:uid="{EB89CA24-2F3E-47F6-A99B-5A87300FDAD2}"/>
    <hyperlink ref="B152" r:id="rId84" xr:uid="{C06BE6AB-6DEC-4DF7-BB44-3F51615E1528}"/>
    <hyperlink ref="B184" r:id="rId85" xr:uid="{1A02B856-5F83-44A9-8695-BE5972A1949E}"/>
    <hyperlink ref="B185" r:id="rId86" xr:uid="{7D9B868B-BDF3-4FF8-B303-7663A01C3B53}"/>
    <hyperlink ref="B186" r:id="rId87" xr:uid="{D4985520-2067-4E69-A46F-6515FDFD56B9}"/>
    <hyperlink ref="B187" r:id="rId88" xr:uid="{54A6AD74-66A3-4A8F-9B17-EF65BC98818F}"/>
    <hyperlink ref="B188" r:id="rId89" xr:uid="{8AB3972D-1189-4CDD-BB60-6CFD844DAA6E}"/>
    <hyperlink ref="B189" r:id="rId90" display="https://doi.org/10.1016/j.cels.2017.12.001" xr:uid="{FCA71828-B4F9-4FED-9FE6-B45BB05A1F92}"/>
    <hyperlink ref="B190" r:id="rId91" xr:uid="{1644332D-F1C9-4E36-A332-0AC51A99B6B0}"/>
    <hyperlink ref="B197" r:id="rId92" xr:uid="{72C5E144-60D3-4896-A226-0EC3B0755C68}"/>
  </hyperlinks>
  <pageMargins left="0.7" right="0.7" top="0.75" bottom="0.75" header="0.3" footer="0.3"/>
  <pageSetup paperSize="9" orientation="portrait" r:id="rId9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462B-A281-4FC2-A979-58B219710571}">
  <dimension ref="A1:AO41"/>
  <sheetViews>
    <sheetView topLeftCell="A16" zoomScale="85" zoomScaleNormal="85" workbookViewId="0">
      <selection activeCell="V31" sqref="V31:AB31"/>
    </sheetView>
  </sheetViews>
  <sheetFormatPr defaultRowHeight="15" x14ac:dyDescent="0.25"/>
  <cols>
    <col min="1" max="1" width="14.5703125" customWidth="1"/>
    <col min="2" max="2" width="8.5703125" customWidth="1"/>
    <col min="3" max="3" width="15.7109375" customWidth="1"/>
    <col min="4" max="4" width="11.28515625" customWidth="1"/>
    <col min="5" max="5" width="10.28515625" customWidth="1"/>
    <col min="6" max="6" width="7.140625" customWidth="1"/>
    <col min="7" max="7" width="8.7109375" customWidth="1"/>
    <col min="8" max="8" width="8.5703125" customWidth="1"/>
    <col min="9" max="9" width="6.5703125" customWidth="1"/>
    <col min="15" max="15" width="12.7109375" customWidth="1"/>
    <col min="18" max="18" width="10.7109375" customWidth="1"/>
    <col min="32" max="33" width="15" customWidth="1"/>
  </cols>
  <sheetData>
    <row r="1" spans="1:41" x14ac:dyDescent="0.25">
      <c r="F1" s="19" t="s">
        <v>559</v>
      </c>
      <c r="G1" s="19"/>
      <c r="H1" s="19"/>
      <c r="R1" t="s">
        <v>643</v>
      </c>
    </row>
    <row r="2" spans="1:41" s="10" customFormat="1" ht="75" x14ac:dyDescent="0.25">
      <c r="A2" s="17" t="s">
        <v>560</v>
      </c>
      <c r="B2" s="17" t="s">
        <v>0</v>
      </c>
      <c r="C2" s="17" t="s">
        <v>308</v>
      </c>
      <c r="D2" s="17" t="s">
        <v>309</v>
      </c>
      <c r="E2" s="17" t="s">
        <v>232</v>
      </c>
      <c r="F2" s="17" t="s">
        <v>558</v>
      </c>
      <c r="G2" s="17" t="s">
        <v>563</v>
      </c>
      <c r="H2" s="17" t="s">
        <v>560</v>
      </c>
      <c r="I2" s="17" t="s">
        <v>234</v>
      </c>
      <c r="J2" s="17" t="s">
        <v>488</v>
      </c>
      <c r="K2" s="17" t="s">
        <v>493</v>
      </c>
      <c r="L2" s="17" t="s">
        <v>494</v>
      </c>
      <c r="M2" s="17" t="s">
        <v>491</v>
      </c>
      <c r="N2" s="17" t="s">
        <v>561</v>
      </c>
      <c r="O2" s="17" t="s">
        <v>238</v>
      </c>
      <c r="P2" s="17" t="s">
        <v>241</v>
      </c>
      <c r="Q2" s="17" t="s">
        <v>564</v>
      </c>
      <c r="R2" s="17" t="s">
        <v>243</v>
      </c>
      <c r="S2" s="17" t="s">
        <v>270</v>
      </c>
      <c r="T2" s="17" t="s">
        <v>329</v>
      </c>
      <c r="U2" s="17" t="s">
        <v>260</v>
      </c>
      <c r="V2" s="17" t="s">
        <v>271</v>
      </c>
      <c r="W2" s="17" t="s">
        <v>262</v>
      </c>
      <c r="X2" s="17" t="s">
        <v>244</v>
      </c>
      <c r="Y2" s="17" t="s">
        <v>569</v>
      </c>
      <c r="Z2" s="17" t="s">
        <v>765</v>
      </c>
      <c r="AA2" s="17" t="s">
        <v>3</v>
      </c>
      <c r="AB2" s="17" t="s">
        <v>567</v>
      </c>
      <c r="AC2" s="17"/>
      <c r="AD2" s="17"/>
      <c r="AE2" s="17"/>
      <c r="AF2" s="17"/>
      <c r="AG2" s="17"/>
      <c r="AH2" s="17" t="s">
        <v>236</v>
      </c>
      <c r="AI2" s="17"/>
      <c r="AJ2" s="17"/>
      <c r="AK2" s="17"/>
      <c r="AL2" s="17"/>
      <c r="AM2" s="17"/>
      <c r="AN2" s="17"/>
    </row>
    <row r="3" spans="1:41" s="38" customFormat="1" x14ac:dyDescent="0.25">
      <c r="A3" s="36" t="s">
        <v>591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</row>
    <row r="4" spans="1:41" s="11" customFormat="1" x14ac:dyDescent="0.25">
      <c r="A4" s="14" t="s">
        <v>253</v>
      </c>
      <c r="B4" s="14" t="s">
        <v>562</v>
      </c>
      <c r="C4" s="14" t="s">
        <v>231</v>
      </c>
      <c r="D4" s="14" t="s">
        <v>566</v>
      </c>
      <c r="E4" s="14" t="s">
        <v>233</v>
      </c>
      <c r="F4" s="15" t="s">
        <v>235</v>
      </c>
      <c r="G4" s="14" t="s">
        <v>237</v>
      </c>
      <c r="H4" s="14" t="s">
        <v>496</v>
      </c>
      <c r="I4" s="14">
        <v>2018</v>
      </c>
      <c r="J4" s="14">
        <v>20250705</v>
      </c>
      <c r="K4" s="14" t="s">
        <v>565</v>
      </c>
      <c r="L4" s="14" t="s">
        <v>495</v>
      </c>
      <c r="M4" s="14" t="s">
        <v>217</v>
      </c>
      <c r="N4" s="14" t="s">
        <v>242</v>
      </c>
      <c r="O4" s="14" t="s">
        <v>239</v>
      </c>
      <c r="P4" s="14" t="s">
        <v>240</v>
      </c>
      <c r="Q4" s="14" t="s">
        <v>248</v>
      </c>
      <c r="R4" s="14">
        <v>1</v>
      </c>
      <c r="S4" s="14" t="s">
        <v>566</v>
      </c>
      <c r="T4" s="14" t="s">
        <v>566</v>
      </c>
      <c r="U4" s="14" t="s">
        <v>566</v>
      </c>
      <c r="V4" s="14" t="s">
        <v>566</v>
      </c>
      <c r="W4" s="14" t="s">
        <v>566</v>
      </c>
      <c r="X4" s="14" t="s">
        <v>566</v>
      </c>
      <c r="Y4" s="14" t="s">
        <v>566</v>
      </c>
      <c r="Z4" s="14"/>
      <c r="AA4" s="14" t="s">
        <v>568</v>
      </c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</row>
    <row r="5" spans="1:41" s="11" customFormat="1" x14ac:dyDescent="0.25">
      <c r="A5" s="14" t="s">
        <v>254</v>
      </c>
      <c r="B5" s="14" t="s">
        <v>562</v>
      </c>
      <c r="C5" s="14" t="s">
        <v>566</v>
      </c>
      <c r="D5" s="14" t="s">
        <v>566</v>
      </c>
      <c r="E5" s="12" t="s">
        <v>250</v>
      </c>
      <c r="F5" s="14"/>
      <c r="G5" s="14" t="s">
        <v>252</v>
      </c>
      <c r="H5" s="11" t="s">
        <v>497</v>
      </c>
      <c r="I5" s="14">
        <v>2021</v>
      </c>
      <c r="J5" s="14">
        <v>20250705</v>
      </c>
      <c r="K5" s="14">
        <v>20260704</v>
      </c>
      <c r="L5" s="14" t="s">
        <v>495</v>
      </c>
      <c r="M5" s="14" t="s">
        <v>217</v>
      </c>
      <c r="N5" s="14" t="s">
        <v>251</v>
      </c>
      <c r="O5" s="14" t="s">
        <v>566</v>
      </c>
      <c r="P5" s="14" t="s">
        <v>566</v>
      </c>
      <c r="Q5" s="14" t="s">
        <v>248</v>
      </c>
      <c r="R5" s="14">
        <v>6</v>
      </c>
      <c r="S5" s="14" t="s">
        <v>566</v>
      </c>
      <c r="T5" s="14" t="s">
        <v>566</v>
      </c>
      <c r="U5" s="14" t="s">
        <v>566</v>
      </c>
      <c r="V5" s="14" t="s">
        <v>566</v>
      </c>
      <c r="W5" s="14">
        <v>47</v>
      </c>
      <c r="X5" s="14" t="s">
        <v>599</v>
      </c>
      <c r="Y5" s="14" t="s">
        <v>566</v>
      </c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</row>
    <row r="6" spans="1:41" s="11" customFormat="1" x14ac:dyDescent="0.25">
      <c r="A6" s="14" t="s">
        <v>255</v>
      </c>
      <c r="B6" s="14" t="s">
        <v>562</v>
      </c>
      <c r="C6" s="15" t="s">
        <v>257</v>
      </c>
      <c r="D6" s="15"/>
      <c r="E6" s="14" t="s">
        <v>256</v>
      </c>
      <c r="F6" s="14" t="s">
        <v>203</v>
      </c>
      <c r="G6" s="14" t="s">
        <v>247</v>
      </c>
      <c r="H6" s="14" t="s">
        <v>601</v>
      </c>
      <c r="I6" s="14">
        <v>2019</v>
      </c>
      <c r="J6" s="14">
        <v>20250705</v>
      </c>
      <c r="K6" s="14">
        <v>20260704</v>
      </c>
      <c r="L6" s="14" t="s">
        <v>495</v>
      </c>
      <c r="M6" s="14" t="s">
        <v>217</v>
      </c>
      <c r="N6" s="14" t="s">
        <v>242</v>
      </c>
      <c r="O6" s="14" t="s">
        <v>239</v>
      </c>
      <c r="P6" s="14" t="s">
        <v>240</v>
      </c>
      <c r="Q6" s="14" t="s">
        <v>265</v>
      </c>
      <c r="R6" s="14">
        <f xml:space="preserve"> 289+87+5+263+68+6</f>
        <v>718</v>
      </c>
      <c r="S6" s="14">
        <f>281+72</f>
        <v>353</v>
      </c>
      <c r="T6" s="14" t="s">
        <v>566</v>
      </c>
      <c r="U6" s="14">
        <v>1</v>
      </c>
      <c r="V6" s="14" t="s">
        <v>272</v>
      </c>
      <c r="W6" s="14">
        <v>35</v>
      </c>
      <c r="X6" s="14" t="s">
        <v>597</v>
      </c>
      <c r="Y6" s="14" t="s">
        <v>566</v>
      </c>
      <c r="Z6" s="14"/>
      <c r="AA6" s="14" t="s">
        <v>598</v>
      </c>
      <c r="AB6" s="14"/>
      <c r="AC6" s="14"/>
      <c r="AD6" s="14"/>
      <c r="AE6" s="14"/>
      <c r="AF6" s="14"/>
      <c r="AG6" s="14"/>
      <c r="AH6" s="14" t="s">
        <v>261</v>
      </c>
      <c r="AI6" s="14" t="s">
        <v>263</v>
      </c>
      <c r="AJ6" s="14"/>
      <c r="AK6" s="14"/>
      <c r="AL6" s="14"/>
      <c r="AM6" s="14"/>
      <c r="AN6" s="14"/>
      <c r="AO6" s="11" t="s">
        <v>264</v>
      </c>
    </row>
    <row r="7" spans="1:41" s="11" customFormat="1" x14ac:dyDescent="0.25">
      <c r="A7" s="14" t="s">
        <v>258</v>
      </c>
      <c r="B7" s="14" t="s">
        <v>562</v>
      </c>
      <c r="C7" s="15" t="s">
        <v>268</v>
      </c>
      <c r="D7" s="15"/>
      <c r="E7" s="12" t="s">
        <v>266</v>
      </c>
      <c r="F7" s="12" t="s">
        <v>65</v>
      </c>
      <c r="G7" s="14" t="s">
        <v>267</v>
      </c>
      <c r="H7" s="14" t="s">
        <v>524</v>
      </c>
      <c r="I7" s="14">
        <v>2020</v>
      </c>
      <c r="J7" s="14">
        <v>20250705</v>
      </c>
      <c r="K7" s="14">
        <v>20260704</v>
      </c>
      <c r="L7" s="14" t="s">
        <v>495</v>
      </c>
      <c r="M7" s="14" t="s">
        <v>217</v>
      </c>
      <c r="N7" s="14" t="s">
        <v>215</v>
      </c>
      <c r="O7" s="14" t="s">
        <v>269</v>
      </c>
      <c r="P7" s="14" t="s">
        <v>274</v>
      </c>
      <c r="Q7" s="14" t="s">
        <v>265</v>
      </c>
      <c r="R7" s="14">
        <v>140</v>
      </c>
      <c r="S7" s="14">
        <v>35</v>
      </c>
      <c r="T7" s="14" t="s">
        <v>566</v>
      </c>
      <c r="U7" s="14">
        <v>1</v>
      </c>
      <c r="V7" s="14" t="s">
        <v>272</v>
      </c>
      <c r="W7" s="14">
        <v>56</v>
      </c>
      <c r="X7" s="14" t="s">
        <v>275</v>
      </c>
      <c r="Y7" s="14" t="s">
        <v>566</v>
      </c>
      <c r="Z7" s="14"/>
      <c r="AA7" s="14" t="s">
        <v>649</v>
      </c>
      <c r="AB7" s="14"/>
      <c r="AC7" s="14"/>
      <c r="AD7" s="14"/>
      <c r="AE7" s="14"/>
      <c r="AF7" s="14"/>
      <c r="AG7" s="14"/>
      <c r="AH7" s="14" t="s">
        <v>273</v>
      </c>
      <c r="AI7" s="14"/>
      <c r="AJ7" s="14"/>
      <c r="AK7" s="14"/>
      <c r="AL7" s="14"/>
      <c r="AM7" s="14"/>
      <c r="AN7" s="14"/>
    </row>
    <row r="8" spans="1:41" s="11" customFormat="1" x14ac:dyDescent="0.25">
      <c r="A8" s="14" t="s">
        <v>595</v>
      </c>
      <c r="B8" s="14" t="s">
        <v>562</v>
      </c>
      <c r="C8" s="15" t="s">
        <v>280</v>
      </c>
      <c r="D8" s="15"/>
      <c r="E8" s="14" t="s">
        <v>279</v>
      </c>
      <c r="F8" s="14" t="s">
        <v>10</v>
      </c>
      <c r="G8" s="14" t="s">
        <v>281</v>
      </c>
      <c r="H8" s="14" t="s">
        <v>498</v>
      </c>
      <c r="I8" s="14">
        <v>2022</v>
      </c>
      <c r="J8" s="14">
        <v>20250705</v>
      </c>
      <c r="K8" s="14">
        <v>20260621</v>
      </c>
      <c r="L8" s="14" t="s">
        <v>495</v>
      </c>
      <c r="M8" s="14" t="s">
        <v>217</v>
      </c>
      <c r="N8" s="14" t="s">
        <v>385</v>
      </c>
      <c r="O8" s="14" t="s">
        <v>277</v>
      </c>
      <c r="P8" s="14" t="s">
        <v>278</v>
      </c>
      <c r="Q8" s="14" t="s">
        <v>248</v>
      </c>
      <c r="R8" s="14">
        <v>1</v>
      </c>
      <c r="S8" s="14">
        <v>1</v>
      </c>
      <c r="T8" s="14" t="s">
        <v>566</v>
      </c>
      <c r="U8" s="14" t="s">
        <v>566</v>
      </c>
      <c r="V8" s="14" t="s">
        <v>282</v>
      </c>
      <c r="W8" s="14">
        <v>4</v>
      </c>
      <c r="X8" s="14" t="s">
        <v>592</v>
      </c>
      <c r="Y8" s="14" t="s">
        <v>566</v>
      </c>
      <c r="Z8" s="14"/>
      <c r="AA8" s="14" t="s">
        <v>566</v>
      </c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</row>
    <row r="9" spans="1:41" s="11" customFormat="1" x14ac:dyDescent="0.25">
      <c r="A9" s="14" t="s">
        <v>276</v>
      </c>
      <c r="B9" s="14" t="s">
        <v>562</v>
      </c>
      <c r="C9" s="15" t="s">
        <v>280</v>
      </c>
      <c r="D9" s="15"/>
      <c r="E9" s="14" t="s">
        <v>279</v>
      </c>
      <c r="F9" s="14" t="s">
        <v>10</v>
      </c>
      <c r="G9" s="14" t="s">
        <v>281</v>
      </c>
      <c r="H9" s="14" t="s">
        <v>498</v>
      </c>
      <c r="I9" s="14">
        <v>2022</v>
      </c>
      <c r="J9" s="14">
        <v>20250705</v>
      </c>
      <c r="K9" s="14">
        <v>20260621</v>
      </c>
      <c r="L9" s="14" t="s">
        <v>495</v>
      </c>
      <c r="M9" s="14" t="s">
        <v>217</v>
      </c>
      <c r="N9" s="14" t="s">
        <v>242</v>
      </c>
      <c r="O9" s="14" t="s">
        <v>277</v>
      </c>
      <c r="P9" s="14" t="s">
        <v>278</v>
      </c>
      <c r="Q9" s="14" t="s">
        <v>248</v>
      </c>
      <c r="R9" s="14">
        <v>7</v>
      </c>
      <c r="S9" s="14">
        <v>7</v>
      </c>
      <c r="T9" s="14" t="s">
        <v>566</v>
      </c>
      <c r="U9" s="14" t="s">
        <v>566</v>
      </c>
      <c r="V9" s="14" t="s">
        <v>282</v>
      </c>
      <c r="W9" s="14">
        <v>33</v>
      </c>
      <c r="X9" s="14" t="s">
        <v>594</v>
      </c>
      <c r="Y9" s="14" t="s">
        <v>566</v>
      </c>
      <c r="Z9" s="14"/>
      <c r="AA9" s="14" t="s">
        <v>566</v>
      </c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</row>
    <row r="10" spans="1:41" s="11" customFormat="1" x14ac:dyDescent="0.25">
      <c r="A10" s="14" t="s">
        <v>284</v>
      </c>
      <c r="B10" s="14" t="s">
        <v>562</v>
      </c>
      <c r="C10" s="14" t="s">
        <v>283</v>
      </c>
      <c r="D10" s="14"/>
      <c r="E10" s="14" t="s">
        <v>287</v>
      </c>
      <c r="F10" s="15" t="s">
        <v>286</v>
      </c>
      <c r="G10" s="14" t="s">
        <v>604</v>
      </c>
      <c r="H10" s="11" t="s">
        <v>608</v>
      </c>
      <c r="I10" s="14">
        <v>2018</v>
      </c>
      <c r="J10" s="14">
        <v>20250705</v>
      </c>
      <c r="K10" s="14">
        <v>20260704</v>
      </c>
      <c r="L10" s="14" t="s">
        <v>495</v>
      </c>
      <c r="M10" s="14" t="s">
        <v>217</v>
      </c>
      <c r="N10" s="14" t="s">
        <v>242</v>
      </c>
      <c r="O10" s="14" t="s">
        <v>285</v>
      </c>
      <c r="P10" s="14" t="s">
        <v>288</v>
      </c>
      <c r="Q10" s="14" t="s">
        <v>265</v>
      </c>
      <c r="R10" s="14" t="s">
        <v>611</v>
      </c>
      <c r="S10" s="14">
        <v>18</v>
      </c>
      <c r="T10" s="14" t="s">
        <v>566</v>
      </c>
      <c r="U10" s="14">
        <v>1</v>
      </c>
      <c r="V10" s="14" t="s">
        <v>272</v>
      </c>
      <c r="W10" s="14">
        <v>33</v>
      </c>
      <c r="X10" s="14" t="s">
        <v>607</v>
      </c>
      <c r="Y10" s="14" t="s">
        <v>566</v>
      </c>
      <c r="Z10" s="14"/>
      <c r="AA10" s="14" t="s">
        <v>610</v>
      </c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</row>
    <row r="11" spans="1:41" x14ac:dyDescent="0.25">
      <c r="A11" s="13" t="s">
        <v>292</v>
      </c>
      <c r="B11" s="13" t="s">
        <v>562</v>
      </c>
      <c r="C11" s="13" t="s">
        <v>289</v>
      </c>
      <c r="D11" s="13"/>
      <c r="E11" s="13" t="s">
        <v>295</v>
      </c>
      <c r="F11" s="16" t="s">
        <v>294</v>
      </c>
      <c r="G11" s="13" t="s">
        <v>291</v>
      </c>
      <c r="H11" s="13"/>
      <c r="I11" s="13">
        <v>2020</v>
      </c>
      <c r="J11" s="13">
        <v>20250705</v>
      </c>
      <c r="K11" s="13"/>
      <c r="L11" s="13"/>
      <c r="M11" s="13" t="s">
        <v>217</v>
      </c>
      <c r="N11" s="13" t="s">
        <v>242</v>
      </c>
      <c r="O11" s="13" t="s">
        <v>285</v>
      </c>
      <c r="P11" s="13" t="s">
        <v>288</v>
      </c>
      <c r="Q11" s="13" t="s">
        <v>265</v>
      </c>
      <c r="R11" s="13"/>
      <c r="S11" s="13">
        <v>12</v>
      </c>
      <c r="T11" s="13">
        <v>24</v>
      </c>
      <c r="U11" s="13">
        <v>1</v>
      </c>
      <c r="V11" s="13"/>
      <c r="W11" s="13">
        <v>37</v>
      </c>
      <c r="X11" s="13" t="s">
        <v>293</v>
      </c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</row>
    <row r="12" spans="1:41" x14ac:dyDescent="0.25">
      <c r="A12" s="13" t="s">
        <v>297</v>
      </c>
      <c r="B12" s="13" t="s">
        <v>562</v>
      </c>
      <c r="C12" s="13"/>
      <c r="D12" s="13" t="s">
        <v>299</v>
      </c>
      <c r="E12" s="13" t="s">
        <v>298</v>
      </c>
      <c r="F12" s="13" t="s">
        <v>197</v>
      </c>
      <c r="G12" s="13" t="s">
        <v>303</v>
      </c>
      <c r="H12" s="13"/>
      <c r="I12" s="13">
        <v>2023</v>
      </c>
      <c r="J12" s="13">
        <v>20250705</v>
      </c>
      <c r="K12" s="13"/>
      <c r="L12" s="13"/>
      <c r="M12" s="13" t="s">
        <v>217</v>
      </c>
      <c r="N12" s="13" t="s">
        <v>242</v>
      </c>
      <c r="O12" s="13" t="s">
        <v>269</v>
      </c>
      <c r="P12" s="13" t="s">
        <v>301</v>
      </c>
      <c r="Q12" s="13" t="s">
        <v>265</v>
      </c>
      <c r="R12" s="13"/>
      <c r="S12" s="13"/>
      <c r="T12" s="13">
        <v>61</v>
      </c>
      <c r="U12" s="13">
        <v>1</v>
      </c>
      <c r="V12" s="13"/>
      <c r="W12" s="13">
        <v>39</v>
      </c>
      <c r="X12" s="13" t="s">
        <v>300</v>
      </c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</row>
    <row r="13" spans="1:41" s="18" customFormat="1" x14ac:dyDescent="0.25">
      <c r="A13" s="21" t="s">
        <v>305</v>
      </c>
      <c r="B13" s="21" t="s">
        <v>562</v>
      </c>
      <c r="C13" s="22" t="s">
        <v>310</v>
      </c>
      <c r="D13" s="22" t="s">
        <v>306</v>
      </c>
      <c r="E13" s="22" t="s">
        <v>307</v>
      </c>
      <c r="F13" s="22" t="s">
        <v>304</v>
      </c>
      <c r="G13" s="21" t="s">
        <v>868</v>
      </c>
      <c r="H13" s="22"/>
      <c r="I13" s="21">
        <v>2020</v>
      </c>
      <c r="J13" s="21">
        <v>20250705</v>
      </c>
      <c r="K13" s="21"/>
      <c r="L13" s="21"/>
      <c r="M13" s="21" t="s">
        <v>217</v>
      </c>
      <c r="N13" s="21" t="s">
        <v>242</v>
      </c>
      <c r="O13" s="21" t="s">
        <v>239</v>
      </c>
      <c r="P13" s="21" t="s">
        <v>240</v>
      </c>
      <c r="Q13" s="21" t="s">
        <v>265</v>
      </c>
      <c r="R13" s="21"/>
      <c r="S13" s="21"/>
      <c r="T13" s="21">
        <v>483</v>
      </c>
      <c r="U13" s="21">
        <v>1</v>
      </c>
      <c r="V13" s="21" t="s">
        <v>272</v>
      </c>
      <c r="W13" s="21">
        <v>37</v>
      </c>
      <c r="X13" s="21" t="s">
        <v>311</v>
      </c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</row>
    <row r="14" spans="1:41" x14ac:dyDescent="0.25">
      <c r="A14" s="13" t="s">
        <v>869</v>
      </c>
      <c r="B14" s="13"/>
      <c r="C14" s="16"/>
      <c r="D14" s="16"/>
      <c r="E14" s="16"/>
      <c r="F14" s="16"/>
      <c r="G14" s="13" t="s">
        <v>870</v>
      </c>
      <c r="H14" s="16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</row>
    <row r="15" spans="1:41" x14ac:dyDescent="0.25">
      <c r="A15" s="13" t="s">
        <v>313</v>
      </c>
      <c r="B15" s="13" t="s">
        <v>562</v>
      </c>
      <c r="C15" s="13"/>
      <c r="D15" s="13" t="s">
        <v>312</v>
      </c>
      <c r="E15" s="16" t="s">
        <v>314</v>
      </c>
      <c r="F15" s="16" t="s">
        <v>315</v>
      </c>
      <c r="G15" s="13" t="s">
        <v>316</v>
      </c>
      <c r="H15" s="16"/>
      <c r="I15" s="13">
        <v>2024</v>
      </c>
      <c r="J15" s="13">
        <v>20250705</v>
      </c>
      <c r="K15" s="13"/>
      <c r="L15" s="13"/>
      <c r="M15" s="13" t="s">
        <v>217</v>
      </c>
      <c r="N15" s="13" t="s">
        <v>242</v>
      </c>
      <c r="O15" s="13"/>
      <c r="P15" s="13" t="s">
        <v>318</v>
      </c>
      <c r="Q15" s="13" t="s">
        <v>265</v>
      </c>
      <c r="R15" s="13"/>
      <c r="S15" s="13">
        <v>32</v>
      </c>
      <c r="T15" s="13"/>
      <c r="U15" s="13">
        <v>1</v>
      </c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 t="s">
        <v>317</v>
      </c>
      <c r="AI15" s="13"/>
      <c r="AJ15" s="13"/>
      <c r="AK15" s="13"/>
      <c r="AL15" s="13"/>
      <c r="AM15" s="13"/>
      <c r="AN15" s="13"/>
    </row>
    <row r="16" spans="1:41" x14ac:dyDescent="0.25">
      <c r="A16" s="13" t="s">
        <v>321</v>
      </c>
      <c r="B16" s="13" t="s">
        <v>562</v>
      </c>
      <c r="C16" s="16" t="s">
        <v>322</v>
      </c>
      <c r="D16" s="13" t="s">
        <v>323</v>
      </c>
      <c r="E16" s="13" t="s">
        <v>324</v>
      </c>
      <c r="F16" s="16" t="s">
        <v>320</v>
      </c>
      <c r="G16" s="13" t="s">
        <v>316</v>
      </c>
      <c r="H16" s="13"/>
      <c r="I16" s="13">
        <v>2025</v>
      </c>
      <c r="J16" s="13">
        <v>20250705</v>
      </c>
      <c r="K16" s="13"/>
      <c r="L16" s="13"/>
      <c r="M16" s="13" t="s">
        <v>217</v>
      </c>
      <c r="N16" s="13" t="s">
        <v>242</v>
      </c>
      <c r="O16" s="13"/>
      <c r="P16" s="13" t="s">
        <v>319</v>
      </c>
      <c r="Q16" s="13" t="s">
        <v>265</v>
      </c>
      <c r="R16" s="13"/>
      <c r="S16" s="13">
        <v>29</v>
      </c>
      <c r="T16" s="13"/>
      <c r="U16" s="13">
        <v>1</v>
      </c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</row>
    <row r="17" spans="1:40" x14ac:dyDescent="0.25">
      <c r="A17" s="13" t="s">
        <v>328</v>
      </c>
      <c r="B17" s="13" t="s">
        <v>562</v>
      </c>
      <c r="C17" s="13"/>
      <c r="D17" s="13"/>
      <c r="E17" s="13" t="s">
        <v>325</v>
      </c>
      <c r="F17" s="13" t="s">
        <v>330</v>
      </c>
      <c r="G17" s="13" t="s">
        <v>332</v>
      </c>
      <c r="H17" s="13"/>
      <c r="I17" s="13">
        <v>2020</v>
      </c>
      <c r="J17" s="13">
        <v>20250705</v>
      </c>
      <c r="K17" s="13"/>
      <c r="L17" s="13"/>
      <c r="M17" s="13" t="s">
        <v>217</v>
      </c>
      <c r="N17" s="13" t="s">
        <v>242</v>
      </c>
      <c r="O17" s="13" t="s">
        <v>326</v>
      </c>
      <c r="P17" s="13" t="s">
        <v>327</v>
      </c>
      <c r="Q17" s="13" t="s">
        <v>265</v>
      </c>
      <c r="R17" s="13"/>
      <c r="S17" s="13">
        <v>23</v>
      </c>
      <c r="T17" s="13">
        <v>240</v>
      </c>
      <c r="U17" s="13">
        <v>1</v>
      </c>
      <c r="V17" s="13"/>
      <c r="W17" s="13">
        <v>36</v>
      </c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</row>
    <row r="18" spans="1:40" s="11" customFormat="1" x14ac:dyDescent="0.25">
      <c r="A18" s="14" t="s">
        <v>342</v>
      </c>
      <c r="B18" s="14" t="s">
        <v>562</v>
      </c>
      <c r="C18" s="14"/>
      <c r="D18" s="14"/>
      <c r="E18" s="12" t="s">
        <v>343</v>
      </c>
      <c r="F18" s="14" t="s">
        <v>22</v>
      </c>
      <c r="G18" s="11" t="s">
        <v>627</v>
      </c>
      <c r="H18" s="14" t="s">
        <v>503</v>
      </c>
      <c r="I18" s="14">
        <v>2022</v>
      </c>
      <c r="J18" s="14">
        <v>20250705</v>
      </c>
      <c r="K18" s="14">
        <v>20260704</v>
      </c>
      <c r="L18" s="14" t="s">
        <v>495</v>
      </c>
      <c r="M18" s="14" t="s">
        <v>217</v>
      </c>
      <c r="N18" s="14" t="s">
        <v>629</v>
      </c>
      <c r="O18" s="14" t="s">
        <v>630</v>
      </c>
      <c r="P18" s="14" t="s">
        <v>566</v>
      </c>
      <c r="Q18" s="14" t="s">
        <v>344</v>
      </c>
      <c r="R18" s="14">
        <f>2600+3000+1200</f>
        <v>6800</v>
      </c>
      <c r="S18" s="14" t="s">
        <v>566</v>
      </c>
      <c r="T18" s="14" t="s">
        <v>566</v>
      </c>
      <c r="U18" s="14" t="s">
        <v>566</v>
      </c>
      <c r="V18" s="14" t="s">
        <v>282</v>
      </c>
      <c r="W18" s="14">
        <v>2</v>
      </c>
      <c r="X18" s="14" t="s">
        <v>345</v>
      </c>
      <c r="Y18" s="14" t="s">
        <v>566</v>
      </c>
      <c r="Z18" s="14" t="s">
        <v>743</v>
      </c>
      <c r="AA18" s="14" t="s">
        <v>628</v>
      </c>
      <c r="AB18" s="14"/>
      <c r="AC18" s="14"/>
      <c r="AD18" s="14"/>
      <c r="AE18" s="14"/>
      <c r="AF18" s="14"/>
      <c r="AG18" s="14"/>
      <c r="AH18" s="14" t="s">
        <v>346</v>
      </c>
      <c r="AI18" s="14"/>
      <c r="AJ18" s="14"/>
      <c r="AK18" s="14"/>
      <c r="AL18" s="14"/>
      <c r="AM18" s="14"/>
      <c r="AN18" s="14"/>
    </row>
    <row r="19" spans="1:40" x14ac:dyDescent="0.25">
      <c r="A19" s="13" t="s">
        <v>347</v>
      </c>
      <c r="B19" s="13" t="s">
        <v>562</v>
      </c>
      <c r="C19" s="13" t="s">
        <v>353</v>
      </c>
      <c r="D19" s="13"/>
      <c r="E19" s="13" t="s">
        <v>352</v>
      </c>
      <c r="F19" s="16" t="s">
        <v>355</v>
      </c>
      <c r="G19" s="13" t="s">
        <v>350</v>
      </c>
      <c r="H19" s="13"/>
      <c r="I19" s="13">
        <v>2023</v>
      </c>
      <c r="J19" s="13">
        <v>20250705</v>
      </c>
      <c r="K19" s="13"/>
      <c r="L19" s="13"/>
      <c r="M19" s="13" t="s">
        <v>217</v>
      </c>
      <c r="N19" s="13" t="s">
        <v>215</v>
      </c>
      <c r="O19" s="13" t="s">
        <v>351</v>
      </c>
      <c r="P19" s="13" t="s">
        <v>349</v>
      </c>
      <c r="Q19" s="13" t="s">
        <v>265</v>
      </c>
      <c r="R19" s="13"/>
      <c r="S19" s="13">
        <v>50</v>
      </c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 t="s">
        <v>354</v>
      </c>
      <c r="AH19" s="13" t="s">
        <v>348</v>
      </c>
      <c r="AI19" s="13"/>
      <c r="AJ19" s="13"/>
      <c r="AK19" s="13"/>
      <c r="AL19" s="13"/>
      <c r="AM19" s="13"/>
      <c r="AN19" s="13"/>
    </row>
    <row r="20" spans="1:40" x14ac:dyDescent="0.25">
      <c r="A20" s="13" t="s">
        <v>363</v>
      </c>
      <c r="B20" s="13" t="s">
        <v>562</v>
      </c>
      <c r="C20" s="16" t="s">
        <v>364</v>
      </c>
      <c r="D20" s="13">
        <v>472872</v>
      </c>
      <c r="E20" s="13" t="s">
        <v>365</v>
      </c>
      <c r="F20" s="13" t="s">
        <v>29</v>
      </c>
      <c r="G20" s="13" t="s">
        <v>362</v>
      </c>
      <c r="H20" s="13"/>
      <c r="I20" s="13">
        <v>2021</v>
      </c>
      <c r="J20" s="13">
        <v>20250705</v>
      </c>
      <c r="K20" s="13"/>
      <c r="L20" s="13"/>
      <c r="M20" s="13" t="s">
        <v>217</v>
      </c>
      <c r="N20" s="13" t="s">
        <v>242</v>
      </c>
      <c r="O20" s="13" t="s">
        <v>360</v>
      </c>
      <c r="P20" s="13" t="s">
        <v>359</v>
      </c>
      <c r="Q20" s="13"/>
      <c r="R20" s="13">
        <v>10</v>
      </c>
      <c r="S20" s="13">
        <v>3</v>
      </c>
      <c r="T20" s="13"/>
      <c r="U20" s="13"/>
      <c r="V20" s="16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 t="s">
        <v>361</v>
      </c>
      <c r="AI20" s="13"/>
      <c r="AJ20" s="13"/>
      <c r="AK20" s="13"/>
      <c r="AL20" s="13"/>
      <c r="AM20" s="13"/>
      <c r="AN20" s="13"/>
    </row>
    <row r="21" spans="1:40" s="11" customFormat="1" x14ac:dyDescent="0.25">
      <c r="A21" s="14" t="s">
        <v>377</v>
      </c>
      <c r="B21" s="14" t="s">
        <v>562</v>
      </c>
      <c r="C21" s="15" t="s">
        <v>374</v>
      </c>
      <c r="D21" s="14"/>
      <c r="E21" s="14" t="s">
        <v>375</v>
      </c>
      <c r="F21" s="14" t="s">
        <v>134</v>
      </c>
      <c r="G21" s="11" t="s">
        <v>136</v>
      </c>
      <c r="H21" s="14" t="s">
        <v>863</v>
      </c>
      <c r="I21" s="14">
        <v>2021</v>
      </c>
      <c r="J21" s="14">
        <v>20250705</v>
      </c>
      <c r="K21" s="14">
        <v>20260706</v>
      </c>
      <c r="L21" s="14" t="s">
        <v>495</v>
      </c>
      <c r="M21" s="14" t="s">
        <v>217</v>
      </c>
      <c r="N21" s="14" t="s">
        <v>385</v>
      </c>
      <c r="O21" s="14" t="s">
        <v>376</v>
      </c>
      <c r="P21" s="14" t="s">
        <v>373</v>
      </c>
      <c r="Q21" s="14" t="s">
        <v>265</v>
      </c>
      <c r="R21" s="14">
        <v>12</v>
      </c>
      <c r="S21" s="14">
        <v>12</v>
      </c>
      <c r="T21" s="14"/>
      <c r="U21" s="14">
        <v>1</v>
      </c>
      <c r="V21" s="14" t="s">
        <v>272</v>
      </c>
      <c r="W21" s="14">
        <v>7</v>
      </c>
      <c r="X21" s="14" t="s">
        <v>839</v>
      </c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 t="s">
        <v>245</v>
      </c>
      <c r="AL21" s="14" t="s">
        <v>246</v>
      </c>
      <c r="AM21" s="14"/>
      <c r="AN21" s="14"/>
    </row>
    <row r="22" spans="1:40" x14ac:dyDescent="0.25">
      <c r="A22" s="13" t="s">
        <v>380</v>
      </c>
      <c r="B22" s="13" t="s">
        <v>562</v>
      </c>
      <c r="C22" s="16" t="s">
        <v>381</v>
      </c>
      <c r="D22" s="13"/>
      <c r="E22" s="13" t="s">
        <v>382</v>
      </c>
      <c r="F22" s="13" t="s">
        <v>204</v>
      </c>
      <c r="G22" s="13" t="s">
        <v>386</v>
      </c>
      <c r="H22" s="13"/>
      <c r="I22" s="13">
        <v>2022</v>
      </c>
      <c r="J22" s="13">
        <v>20250705</v>
      </c>
      <c r="K22" s="13"/>
      <c r="L22" s="13"/>
      <c r="M22" s="13" t="s">
        <v>217</v>
      </c>
      <c r="N22" s="13" t="s">
        <v>242</v>
      </c>
      <c r="O22" s="13" t="s">
        <v>383</v>
      </c>
      <c r="P22" s="13" t="s">
        <v>384</v>
      </c>
      <c r="Q22" s="13" t="s">
        <v>265</v>
      </c>
      <c r="R22" s="13">
        <v>26</v>
      </c>
      <c r="S22" s="13">
        <v>26</v>
      </c>
      <c r="T22" s="13"/>
      <c r="U22" s="13">
        <v>1</v>
      </c>
      <c r="V22" s="13" t="s">
        <v>272</v>
      </c>
      <c r="W22" s="13">
        <v>41</v>
      </c>
      <c r="X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</row>
    <row r="23" spans="1:40" s="11" customFormat="1" ht="17.25" x14ac:dyDescent="0.3">
      <c r="A23" s="14" t="s">
        <v>647</v>
      </c>
      <c r="B23" s="14" t="s">
        <v>562</v>
      </c>
      <c r="C23" s="15" t="s">
        <v>646</v>
      </c>
      <c r="D23" s="14" t="s">
        <v>645</v>
      </c>
      <c r="E23" s="14"/>
      <c r="F23" s="32" t="s">
        <v>640</v>
      </c>
      <c r="G23" s="14" t="s">
        <v>639</v>
      </c>
      <c r="H23" s="14"/>
      <c r="I23" s="14">
        <v>2019</v>
      </c>
      <c r="J23" s="14">
        <v>20260704</v>
      </c>
      <c r="K23" s="14">
        <v>20260704</v>
      </c>
      <c r="L23" s="14" t="s">
        <v>495</v>
      </c>
      <c r="M23" s="14" t="s">
        <v>644</v>
      </c>
      <c r="N23" s="14" t="s">
        <v>642</v>
      </c>
      <c r="O23" s="14" t="s">
        <v>566</v>
      </c>
      <c r="P23" s="14" t="s">
        <v>566</v>
      </c>
      <c r="Q23" s="14" t="s">
        <v>344</v>
      </c>
      <c r="R23" s="14">
        <v>841</v>
      </c>
      <c r="S23" s="14" t="s">
        <v>566</v>
      </c>
      <c r="T23" s="14" t="s">
        <v>566</v>
      </c>
      <c r="U23" s="14" t="s">
        <v>566</v>
      </c>
      <c r="V23" s="14" t="s">
        <v>282</v>
      </c>
      <c r="W23" s="14" t="s">
        <v>566</v>
      </c>
      <c r="X23" s="14" t="s">
        <v>566</v>
      </c>
      <c r="Y23" s="14" t="s">
        <v>566</v>
      </c>
      <c r="Z23" s="14"/>
      <c r="AA23" s="14" t="s">
        <v>641</v>
      </c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</row>
    <row r="24" spans="1:40" s="11" customFormat="1" x14ac:dyDescent="0.25">
      <c r="A24" s="14" t="s">
        <v>895</v>
      </c>
      <c r="B24" s="14" t="s">
        <v>562</v>
      </c>
      <c r="C24" s="11" t="s">
        <v>901</v>
      </c>
      <c r="E24" s="11" t="s">
        <v>899</v>
      </c>
      <c r="F24" s="11" t="s">
        <v>140</v>
      </c>
      <c r="G24" s="11" t="s">
        <v>900</v>
      </c>
      <c r="H24" s="28" t="s">
        <v>865</v>
      </c>
      <c r="I24" s="14">
        <v>2022</v>
      </c>
      <c r="J24" s="14">
        <v>20260706</v>
      </c>
      <c r="K24" s="14">
        <v>20260706</v>
      </c>
      <c r="L24" s="14" t="s">
        <v>495</v>
      </c>
      <c r="M24" s="14" t="s">
        <v>217</v>
      </c>
      <c r="N24" s="14" t="s">
        <v>902</v>
      </c>
      <c r="O24" s="14" t="s">
        <v>239</v>
      </c>
      <c r="P24" s="14" t="s">
        <v>903</v>
      </c>
      <c r="Q24" s="14" t="s">
        <v>265</v>
      </c>
      <c r="R24" s="11">
        <f>9+58+12</f>
        <v>79</v>
      </c>
      <c r="S24" s="11">
        <f>9+58+12</f>
        <v>79</v>
      </c>
      <c r="T24" s="11" t="s">
        <v>566</v>
      </c>
      <c r="U24" s="11">
        <v>1</v>
      </c>
      <c r="V24" s="14" t="s">
        <v>272</v>
      </c>
      <c r="W24" s="11">
        <v>37</v>
      </c>
      <c r="X24" s="11" t="s">
        <v>905</v>
      </c>
      <c r="Y24" s="11" t="s">
        <v>566</v>
      </c>
      <c r="Z24" s="11" t="s">
        <v>898</v>
      </c>
      <c r="AA24" s="11" t="s">
        <v>897</v>
      </c>
      <c r="AC24" s="11" t="s">
        <v>904</v>
      </c>
    </row>
    <row r="25" spans="1:40" x14ac:dyDescent="0.25">
      <c r="E25" t="s">
        <v>325</v>
      </c>
      <c r="M25" s="14" t="s">
        <v>217</v>
      </c>
      <c r="N25" s="14" t="s">
        <v>242</v>
      </c>
      <c r="O25" s="14" t="s">
        <v>326</v>
      </c>
      <c r="P25" s="14" t="s">
        <v>327</v>
      </c>
    </row>
    <row r="26" spans="1:40" x14ac:dyDescent="0.25">
      <c r="A26" t="s">
        <v>584</v>
      </c>
      <c r="B26" t="s">
        <v>562</v>
      </c>
      <c r="C26" t="s">
        <v>566</v>
      </c>
      <c r="D26" t="s">
        <v>566</v>
      </c>
      <c r="E26" t="s">
        <v>566</v>
      </c>
      <c r="G26" t="s">
        <v>17</v>
      </c>
      <c r="H26" t="s">
        <v>501</v>
      </c>
      <c r="I26" t="s">
        <v>566</v>
      </c>
      <c r="J26" t="s">
        <v>565</v>
      </c>
      <c r="K26" t="s">
        <v>565</v>
      </c>
      <c r="L26" t="s">
        <v>495</v>
      </c>
      <c r="M26" t="s">
        <v>217</v>
      </c>
      <c r="N26" t="s">
        <v>385</v>
      </c>
      <c r="O26" t="s">
        <v>269</v>
      </c>
      <c r="P26" t="s">
        <v>240</v>
      </c>
      <c r="Q26" t="s">
        <v>566</v>
      </c>
      <c r="R26" t="s">
        <v>566</v>
      </c>
      <c r="S26" t="s">
        <v>566</v>
      </c>
      <c r="T26" t="s">
        <v>566</v>
      </c>
      <c r="U26" t="s">
        <v>566</v>
      </c>
      <c r="V26" t="s">
        <v>566</v>
      </c>
      <c r="W26" t="s">
        <v>566</v>
      </c>
      <c r="X26">
        <v>4</v>
      </c>
      <c r="Y26" s="13" t="s">
        <v>587</v>
      </c>
      <c r="Z26" t="s">
        <v>566</v>
      </c>
      <c r="AA26" t="s">
        <v>586</v>
      </c>
    </row>
    <row r="27" spans="1:40" x14ac:dyDescent="0.25">
      <c r="A27" t="s">
        <v>588</v>
      </c>
      <c r="B27" t="s">
        <v>562</v>
      </c>
      <c r="C27" t="s">
        <v>566</v>
      </c>
      <c r="D27" t="s">
        <v>566</v>
      </c>
      <c r="E27" t="s">
        <v>566</v>
      </c>
      <c r="G27" t="s">
        <v>15</v>
      </c>
      <c r="H27" t="s">
        <v>500</v>
      </c>
      <c r="I27" t="s">
        <v>566</v>
      </c>
      <c r="J27" t="s">
        <v>565</v>
      </c>
      <c r="K27" t="s">
        <v>565</v>
      </c>
      <c r="L27" t="s">
        <v>495</v>
      </c>
      <c r="M27" t="s">
        <v>217</v>
      </c>
      <c r="N27" t="s">
        <v>242</v>
      </c>
      <c r="O27" t="s">
        <v>269</v>
      </c>
      <c r="P27" t="s">
        <v>240</v>
      </c>
      <c r="Q27" t="s">
        <v>566</v>
      </c>
      <c r="R27">
        <v>48</v>
      </c>
      <c r="S27">
        <v>12</v>
      </c>
      <c r="T27" t="s">
        <v>566</v>
      </c>
      <c r="U27" t="s">
        <v>566</v>
      </c>
      <c r="V27" t="s">
        <v>566</v>
      </c>
      <c r="W27" t="s">
        <v>566</v>
      </c>
      <c r="X27">
        <v>30</v>
      </c>
      <c r="Y27" t="s">
        <v>566</v>
      </c>
      <c r="Z27" t="s">
        <v>566</v>
      </c>
      <c r="AA27" t="s">
        <v>586</v>
      </c>
    </row>
    <row r="30" spans="1:40" x14ac:dyDescent="0.25">
      <c r="F30" s="19"/>
      <c r="G30" s="19"/>
      <c r="H30" s="19"/>
    </row>
    <row r="36" spans="3:8" x14ac:dyDescent="0.25">
      <c r="C36" s="1"/>
    </row>
    <row r="38" spans="3:8" x14ac:dyDescent="0.25">
      <c r="C38" s="1"/>
      <c r="G38" t="s">
        <v>915</v>
      </c>
    </row>
    <row r="39" spans="3:8" x14ac:dyDescent="0.25">
      <c r="G39" t="s">
        <v>248</v>
      </c>
      <c r="H39" t="s">
        <v>249</v>
      </c>
    </row>
    <row r="40" spans="3:8" x14ac:dyDescent="0.25">
      <c r="G40" t="s">
        <v>371</v>
      </c>
    </row>
    <row r="41" spans="3:8" x14ac:dyDescent="0.25">
      <c r="G41" t="s">
        <v>372</v>
      </c>
    </row>
  </sheetData>
  <mergeCells count="2">
    <mergeCell ref="F1:H1"/>
    <mergeCell ref="F30:H30"/>
  </mergeCells>
  <hyperlinks>
    <hyperlink ref="F19" r:id="rId1" display="https://doi.org/10.1016/j.celrep.2023.113494" xr:uid="{2625BF10-0BA2-41BB-BA54-586376FE9319}"/>
    <hyperlink ref="C20" r:id="rId2" display="https://doi.org/10.5281/zenodo.4727872" xr:uid="{6C75CFD3-CEDF-4FAF-B976-B1D483571C26}"/>
    <hyperlink ref="C21" r:id="rId3" display="https://doi.org/10.5281/zenodo.4596337" xr:uid="{E1D71AFE-6EF7-43BF-98CE-862B43ABC8C2}"/>
    <hyperlink ref="C22" r:id="rId4" display="https://doi.org/10.5281/zenodo.6836991" xr:uid="{41FED4E6-A0ED-41A5-89F5-9522CA4E633A}"/>
    <hyperlink ref="C16" r:id="rId5" display="https://doi.org/10.6019/S-BIAD1555" xr:uid="{22E95153-5D45-472E-8F6B-1EA0A905E7F4}"/>
    <hyperlink ref="F16" r:id="rId6" display="https://dx.doi.org/10.1007%2Fs00262-025-04123-y" xr:uid="{9AFE37C4-B8C5-49DE-9A4F-267515626B27}"/>
    <hyperlink ref="E15" r:id="rId7" xr:uid="{F5E64A9A-0E50-4099-9210-D12177144FB7}"/>
    <hyperlink ref="F15" r:id="rId8" display="https://dx.doi.org/10.1136%2Fjitc-2023-008138" xr:uid="{4A389FF7-8949-42C0-9166-AA9374FF4506}"/>
    <hyperlink ref="E13" r:id="rId9" xr:uid="{84A51516-4541-4841-B38F-5C70C7452622}"/>
    <hyperlink ref="F13" r:id="rId10" xr:uid="{E6EE75F0-5409-4CDD-8C95-3986A26F09A2}"/>
    <hyperlink ref="C13" r:id="rId11" display="https://www.ebi.ac.uk/ega/studies/idr0076" xr:uid="{BEBC01D0-CEB4-4CC7-96A0-72A691FC1242}"/>
    <hyperlink ref="F11" r:id="rId12" display="http://doi.org/10.1016/j.cmet.2018.11.014" xr:uid="{EC199547-A0E7-4815-9AD7-4DB15DCA986F}"/>
    <hyperlink ref="F10" r:id="rId13" display="http://doi.org/10.1016/j.cmet.2019.01.003" xr:uid="{71B1C528-37A2-4984-8AA4-E4E390DEEAAA}"/>
    <hyperlink ref="C9" r:id="rId14" xr:uid="{F9EFD0E9-76A1-417D-9556-03DE3F195FBF}"/>
    <hyperlink ref="C7" r:id="rId15" location="citations" display="https://www.cancerimagingarchive.net/collection/crc_ffpe-codex_cellneighs/ - citations" xr:uid="{D0FBE5C2-F4C3-412E-8652-D51CF77A6589}"/>
    <hyperlink ref="C6" r:id="rId16" display="https://doi.org/10.5281/zenodo.3518283" xr:uid="{B6A5B142-7E44-4BDC-BE32-5AE07829B6DC}"/>
    <hyperlink ref="F4" r:id="rId17" display="http://doi.org/10.1016/j.cels.2018.02.010" xr:uid="{5938C217-B066-4887-97E7-B3D02EC5AFB2}"/>
    <hyperlink ref="C8" r:id="rId18" xr:uid="{78BF01A8-3FCC-4E13-8F69-5BA6B844536C}"/>
    <hyperlink ref="E5" r:id="rId19" xr:uid="{BC03FBE7-2E7E-43FF-BEB0-6D8568392CE0}"/>
    <hyperlink ref="E18" r:id="rId20" xr:uid="{4F569EA4-025A-41E4-8F0C-DA9008807A29}"/>
    <hyperlink ref="E7" r:id="rId21" xr:uid="{A74F9C9D-293D-4A71-8B34-1A797DC0B29A}"/>
    <hyperlink ref="F7" r:id="rId22" xr:uid="{29AB50CE-9B2E-442C-A77A-8972B9E61819}"/>
    <hyperlink ref="F24" r:id="rId23" tooltip="Persistent link using digital object identifier" xr:uid="{3FA6AECE-8F0A-422D-BAB3-1B6F4CD4D87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92458-3CCC-47C1-A460-89C23D0755B6}">
  <dimension ref="A1:AK8"/>
  <sheetViews>
    <sheetView workbookViewId="0">
      <selection activeCell="J8" sqref="J8"/>
    </sheetView>
  </sheetViews>
  <sheetFormatPr defaultRowHeight="15" x14ac:dyDescent="0.25"/>
  <cols>
    <col min="1" max="1" width="12.7109375" customWidth="1"/>
  </cols>
  <sheetData>
    <row r="1" spans="1:37" x14ac:dyDescent="0.25">
      <c r="F1" s="19" t="s">
        <v>559</v>
      </c>
      <c r="G1" s="19"/>
      <c r="H1" s="19"/>
      <c r="N1" t="s">
        <v>906</v>
      </c>
      <c r="Y1" t="s">
        <v>643</v>
      </c>
    </row>
    <row r="2" spans="1:37" ht="75" x14ac:dyDescent="0.25">
      <c r="A2" s="17" t="s">
        <v>560</v>
      </c>
      <c r="B2" s="17" t="s">
        <v>0</v>
      </c>
      <c r="C2" s="17" t="s">
        <v>308</v>
      </c>
      <c r="D2" s="17" t="s">
        <v>309</v>
      </c>
      <c r="E2" s="17" t="s">
        <v>232</v>
      </c>
      <c r="F2" s="17" t="s">
        <v>558</v>
      </c>
      <c r="G2" s="17" t="s">
        <v>563</v>
      </c>
      <c r="H2" s="17" t="s">
        <v>560</v>
      </c>
      <c r="I2" s="17" t="s">
        <v>234</v>
      </c>
      <c r="J2" s="17" t="s">
        <v>488</v>
      </c>
      <c r="K2" s="17" t="s">
        <v>493</v>
      </c>
      <c r="L2" s="17" t="s">
        <v>494</v>
      </c>
      <c r="M2" s="17" t="s">
        <v>491</v>
      </c>
      <c r="N2" s="17" t="s">
        <v>561</v>
      </c>
      <c r="O2" s="17" t="s">
        <v>262</v>
      </c>
      <c r="P2" s="17" t="s">
        <v>244</v>
      </c>
      <c r="Q2" s="17" t="s">
        <v>569</v>
      </c>
      <c r="R2" s="17" t="s">
        <v>491</v>
      </c>
      <c r="S2" s="17" t="s">
        <v>561</v>
      </c>
      <c r="T2" s="17" t="s">
        <v>262</v>
      </c>
      <c r="U2" s="17" t="s">
        <v>244</v>
      </c>
      <c r="V2" s="17" t="s">
        <v>569</v>
      </c>
      <c r="W2" s="17" t="s">
        <v>241</v>
      </c>
      <c r="X2" s="17" t="s">
        <v>564</v>
      </c>
      <c r="Y2" s="17" t="s">
        <v>243</v>
      </c>
      <c r="Z2" s="17" t="s">
        <v>270</v>
      </c>
      <c r="AA2" s="17" t="s">
        <v>329</v>
      </c>
      <c r="AB2" s="17" t="s">
        <v>260</v>
      </c>
      <c r="AC2" s="17" t="s">
        <v>271</v>
      </c>
      <c r="AG2" s="17" t="s">
        <v>765</v>
      </c>
      <c r="AH2" s="17" t="s">
        <v>3</v>
      </c>
      <c r="AI2" s="17" t="s">
        <v>567</v>
      </c>
      <c r="AJ2" s="17"/>
      <c r="AK2" s="17"/>
    </row>
    <row r="3" spans="1:37" x14ac:dyDescent="0.25">
      <c r="A3" t="s">
        <v>909</v>
      </c>
      <c r="F3" s="1" t="s">
        <v>379</v>
      </c>
      <c r="I3">
        <v>2024</v>
      </c>
      <c r="J3">
        <v>20260706</v>
      </c>
      <c r="M3" t="s">
        <v>217</v>
      </c>
      <c r="N3" t="s">
        <v>215</v>
      </c>
      <c r="R3" t="s">
        <v>653</v>
      </c>
      <c r="S3" t="s">
        <v>907</v>
      </c>
      <c r="W3" t="s">
        <v>378</v>
      </c>
    </row>
    <row r="6" spans="1:37" x14ac:dyDescent="0.25">
      <c r="G6" s="1" t="s">
        <v>335</v>
      </c>
      <c r="J6" t="s">
        <v>336</v>
      </c>
    </row>
    <row r="8" spans="1:37" x14ac:dyDescent="0.25">
      <c r="G8" s="1" t="s">
        <v>333</v>
      </c>
      <c r="H8" t="s">
        <v>334</v>
      </c>
      <c r="J8" t="s">
        <v>914</v>
      </c>
      <c r="R8" s="17"/>
      <c r="S8" s="17"/>
      <c r="T8" s="17"/>
    </row>
  </sheetData>
  <mergeCells count="1">
    <mergeCell ref="F1:H1"/>
  </mergeCells>
  <hyperlinks>
    <hyperlink ref="F3" r:id="rId1" location="sec4" xr:uid="{6C56D171-8C2F-4DD4-ADA5-817385821097}"/>
    <hyperlink ref="G6" r:id="rId2" xr:uid="{22F94249-3581-471E-863A-D35333EDCC73}"/>
    <hyperlink ref="G8" r:id="rId3" display="https://doi.org/10.1126/sciimmunol.abk1692" xr:uid="{991FEF1D-3E66-4CCA-BA34-A886251BE25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B9A6B-7C14-477A-B2C2-16505DB26365}">
  <dimension ref="A1:AH66"/>
  <sheetViews>
    <sheetView tabSelected="1" workbookViewId="0">
      <selection activeCell="D41" sqref="D41"/>
    </sheetView>
  </sheetViews>
  <sheetFormatPr defaultRowHeight="15" x14ac:dyDescent="0.25"/>
  <cols>
    <col min="1" max="1" width="13.28515625" customWidth="1"/>
    <col min="2" max="3" width="10.7109375" customWidth="1"/>
    <col min="4" max="4" width="15.7109375" customWidth="1"/>
    <col min="5" max="5" width="25.140625" customWidth="1"/>
    <col min="6" max="6" width="37.28515625" customWidth="1"/>
    <col min="7" max="8" width="27.7109375" customWidth="1"/>
    <col min="26" max="27" width="10.42578125" customWidth="1"/>
  </cols>
  <sheetData>
    <row r="1" spans="1:34" x14ac:dyDescent="0.25">
      <c r="F1" s="19" t="s">
        <v>559</v>
      </c>
      <c r="G1" s="19"/>
      <c r="H1" s="19"/>
      <c r="T1" t="s">
        <v>643</v>
      </c>
    </row>
    <row r="2" spans="1:34" ht="75" x14ac:dyDescent="0.25">
      <c r="A2" s="17" t="s">
        <v>560</v>
      </c>
      <c r="B2" s="17" t="s">
        <v>0</v>
      </c>
      <c r="C2" s="17" t="s">
        <v>308</v>
      </c>
      <c r="D2" s="17" t="s">
        <v>309</v>
      </c>
      <c r="E2" s="17" t="s">
        <v>232</v>
      </c>
      <c r="F2" s="17" t="s">
        <v>558</v>
      </c>
      <c r="G2" s="17" t="s">
        <v>563</v>
      </c>
      <c r="H2" s="17" t="s">
        <v>560</v>
      </c>
      <c r="I2" s="17" t="s">
        <v>234</v>
      </c>
      <c r="J2" s="17" t="s">
        <v>488</v>
      </c>
      <c r="K2" s="17" t="s">
        <v>493</v>
      </c>
      <c r="L2" s="17" t="s">
        <v>494</v>
      </c>
      <c r="M2" s="17" t="s">
        <v>491</v>
      </c>
      <c r="N2" s="17" t="s">
        <v>561</v>
      </c>
      <c r="O2" s="17" t="s">
        <v>405</v>
      </c>
      <c r="P2" s="17" t="s">
        <v>238</v>
      </c>
      <c r="Q2" s="17" t="s">
        <v>241</v>
      </c>
      <c r="R2" s="17"/>
      <c r="S2" s="17" t="s">
        <v>564</v>
      </c>
      <c r="T2" s="17" t="s">
        <v>243</v>
      </c>
      <c r="U2" s="17" t="s">
        <v>270</v>
      </c>
      <c r="V2" s="17" t="s">
        <v>271</v>
      </c>
      <c r="W2" s="17" t="s">
        <v>408</v>
      </c>
      <c r="X2" s="17" t="s">
        <v>681</v>
      </c>
      <c r="Y2" s="17" t="s">
        <v>569</v>
      </c>
      <c r="Z2" s="17" t="s">
        <v>656</v>
      </c>
      <c r="AA2" s="17" t="s">
        <v>743</v>
      </c>
      <c r="AB2" s="17" t="s">
        <v>3</v>
      </c>
      <c r="AC2" s="17"/>
      <c r="AE2" s="17"/>
    </row>
    <row r="3" spans="1:34" x14ac:dyDescent="0.25">
      <c r="A3" t="s">
        <v>410</v>
      </c>
      <c r="B3" t="s">
        <v>404</v>
      </c>
      <c r="D3" s="1"/>
      <c r="E3" t="s">
        <v>218</v>
      </c>
      <c r="F3" t="s">
        <v>407</v>
      </c>
      <c r="G3" t="s">
        <v>665</v>
      </c>
      <c r="H3" t="s">
        <v>650</v>
      </c>
      <c r="I3">
        <v>2018</v>
      </c>
      <c r="J3" s="18">
        <v>20250705</v>
      </c>
      <c r="K3">
        <v>20260704</v>
      </c>
      <c r="L3" t="s">
        <v>495</v>
      </c>
      <c r="M3" t="s">
        <v>653</v>
      </c>
      <c r="N3" t="s">
        <v>412</v>
      </c>
      <c r="O3" t="s">
        <v>406</v>
      </c>
      <c r="P3" t="s">
        <v>677</v>
      </c>
      <c r="Q3" t="s">
        <v>566</v>
      </c>
      <c r="S3" t="s">
        <v>654</v>
      </c>
      <c r="T3" t="s">
        <v>654</v>
      </c>
      <c r="U3" t="s">
        <v>654</v>
      </c>
      <c r="V3" t="s">
        <v>566</v>
      </c>
      <c r="W3">
        <v>35</v>
      </c>
      <c r="Y3" t="s">
        <v>566</v>
      </c>
      <c r="Z3" t="s">
        <v>654</v>
      </c>
      <c r="AB3" t="s">
        <v>655</v>
      </c>
    </row>
    <row r="4" spans="1:34" x14ac:dyDescent="0.25">
      <c r="A4" t="s">
        <v>409</v>
      </c>
      <c r="B4" t="s">
        <v>404</v>
      </c>
      <c r="C4" t="s">
        <v>659</v>
      </c>
      <c r="E4" s="1" t="s">
        <v>413</v>
      </c>
      <c r="F4" s="1" t="s">
        <v>414</v>
      </c>
      <c r="G4" t="s">
        <v>719</v>
      </c>
      <c r="H4" t="s">
        <v>658</v>
      </c>
      <c r="I4">
        <v>2018</v>
      </c>
      <c r="J4" s="18">
        <v>20250705</v>
      </c>
      <c r="K4">
        <v>20260704</v>
      </c>
      <c r="L4" t="s">
        <v>495</v>
      </c>
      <c r="M4" t="s">
        <v>653</v>
      </c>
      <c r="N4" t="s">
        <v>219</v>
      </c>
      <c r="O4" t="s">
        <v>406</v>
      </c>
      <c r="P4" t="s">
        <v>678</v>
      </c>
      <c r="Q4" t="s">
        <v>566</v>
      </c>
      <c r="S4" t="s">
        <v>265</v>
      </c>
      <c r="T4" t="s">
        <v>654</v>
      </c>
      <c r="U4" t="s">
        <v>654</v>
      </c>
      <c r="V4" t="s">
        <v>566</v>
      </c>
      <c r="W4">
        <v>140</v>
      </c>
      <c r="Y4" t="s">
        <v>566</v>
      </c>
      <c r="Z4" t="s">
        <v>654</v>
      </c>
    </row>
    <row r="5" spans="1:34" x14ac:dyDescent="0.25">
      <c r="A5" t="s">
        <v>416</v>
      </c>
      <c r="B5" s="18" t="s">
        <v>220</v>
      </c>
      <c r="C5" t="s">
        <v>221</v>
      </c>
      <c r="D5" s="1"/>
      <c r="E5" t="s">
        <v>660</v>
      </c>
      <c r="F5" t="s">
        <v>38</v>
      </c>
      <c r="G5" t="s">
        <v>39</v>
      </c>
      <c r="H5" t="s">
        <v>511</v>
      </c>
      <c r="I5">
        <v>2020</v>
      </c>
      <c r="J5" s="18">
        <v>20250705</v>
      </c>
      <c r="K5">
        <v>20260704</v>
      </c>
      <c r="L5" t="s">
        <v>495</v>
      </c>
      <c r="M5" t="s">
        <v>653</v>
      </c>
      <c r="N5" t="s">
        <v>220</v>
      </c>
      <c r="O5" t="s">
        <v>406</v>
      </c>
      <c r="P5" t="s">
        <v>679</v>
      </c>
      <c r="Q5" t="s">
        <v>566</v>
      </c>
      <c r="S5" t="s">
        <v>265</v>
      </c>
      <c r="T5">
        <v>28</v>
      </c>
      <c r="U5" t="s">
        <v>654</v>
      </c>
      <c r="V5" t="s">
        <v>566</v>
      </c>
      <c r="W5">
        <v>95</v>
      </c>
      <c r="Y5" t="s">
        <v>566</v>
      </c>
      <c r="Z5" t="s">
        <v>654</v>
      </c>
    </row>
    <row r="6" spans="1:34" x14ac:dyDescent="0.25">
      <c r="A6" t="s">
        <v>417</v>
      </c>
      <c r="B6" s="18" t="s">
        <v>734</v>
      </c>
      <c r="E6" s="1" t="s">
        <v>223</v>
      </c>
      <c r="F6" s="1" t="s">
        <v>661</v>
      </c>
      <c r="G6" t="s">
        <v>666</v>
      </c>
      <c r="H6" t="s">
        <v>663</v>
      </c>
      <c r="I6">
        <v>2018</v>
      </c>
      <c r="J6" s="18">
        <v>20250705</v>
      </c>
      <c r="K6">
        <v>20260704</v>
      </c>
      <c r="L6" t="s">
        <v>495</v>
      </c>
      <c r="M6" t="s">
        <v>653</v>
      </c>
      <c r="N6" t="s">
        <v>222</v>
      </c>
      <c r="O6" t="s">
        <v>406</v>
      </c>
      <c r="P6" t="s">
        <v>680</v>
      </c>
      <c r="Q6" t="s">
        <v>566</v>
      </c>
      <c r="V6" t="s">
        <v>566</v>
      </c>
      <c r="W6" t="s">
        <v>669</v>
      </c>
      <c r="Y6" t="s">
        <v>566</v>
      </c>
      <c r="Z6" t="s">
        <v>654</v>
      </c>
      <c r="AB6" t="s">
        <v>670</v>
      </c>
    </row>
    <row r="7" spans="1:34" x14ac:dyDescent="0.25">
      <c r="A7" t="s">
        <v>418</v>
      </c>
      <c r="B7" t="s">
        <v>404</v>
      </c>
      <c r="E7" s="1" t="s">
        <v>671</v>
      </c>
      <c r="F7" s="1" t="s">
        <v>672</v>
      </c>
      <c r="G7" t="s">
        <v>673</v>
      </c>
      <c r="H7" t="s">
        <v>675</v>
      </c>
      <c r="I7">
        <v>2019</v>
      </c>
      <c r="J7" s="18">
        <v>20260705</v>
      </c>
      <c r="K7">
        <v>20260705</v>
      </c>
      <c r="L7" t="s">
        <v>495</v>
      </c>
      <c r="M7" t="s">
        <v>653</v>
      </c>
      <c r="N7" t="s">
        <v>673</v>
      </c>
      <c r="O7" t="s">
        <v>406</v>
      </c>
      <c r="P7" t="s">
        <v>683</v>
      </c>
      <c r="Q7" t="s">
        <v>566</v>
      </c>
      <c r="W7">
        <v>10000</v>
      </c>
      <c r="Y7" t="s">
        <v>566</v>
      </c>
      <c r="Z7" t="s">
        <v>654</v>
      </c>
      <c r="AB7" t="s">
        <v>682</v>
      </c>
    </row>
    <row r="8" spans="1:34" x14ac:dyDescent="0.25">
      <c r="A8" t="s">
        <v>419</v>
      </c>
      <c r="B8" t="s">
        <v>404</v>
      </c>
      <c r="E8" s="1" t="s">
        <v>225</v>
      </c>
      <c r="F8" s="1" t="s">
        <v>685</v>
      </c>
      <c r="H8" t="s">
        <v>684</v>
      </c>
      <c r="I8">
        <v>2022</v>
      </c>
      <c r="J8" s="18">
        <v>20260705</v>
      </c>
      <c r="K8">
        <v>20260705</v>
      </c>
      <c r="L8" t="s">
        <v>495</v>
      </c>
      <c r="M8" t="s">
        <v>653</v>
      </c>
      <c r="N8" t="s">
        <v>224</v>
      </c>
      <c r="O8" t="s">
        <v>406</v>
      </c>
      <c r="P8" t="s">
        <v>688</v>
      </c>
      <c r="Q8" t="s">
        <v>566</v>
      </c>
      <c r="S8" t="s">
        <v>265</v>
      </c>
      <c r="T8">
        <v>6</v>
      </c>
      <c r="U8">
        <v>3</v>
      </c>
      <c r="W8">
        <v>387</v>
      </c>
      <c r="Y8" t="s">
        <v>566</v>
      </c>
      <c r="Z8" t="s">
        <v>654</v>
      </c>
      <c r="AB8" t="s">
        <v>689</v>
      </c>
    </row>
    <row r="9" spans="1:34" x14ac:dyDescent="0.25">
      <c r="A9" t="s">
        <v>423</v>
      </c>
      <c r="B9" t="s">
        <v>404</v>
      </c>
      <c r="C9" s="1" t="s">
        <v>692</v>
      </c>
      <c r="E9" s="1"/>
      <c r="F9" s="1" t="s">
        <v>35</v>
      </c>
      <c r="G9" t="s">
        <v>37</v>
      </c>
      <c r="H9" s="18" t="s">
        <v>510</v>
      </c>
      <c r="I9">
        <v>2021</v>
      </c>
      <c r="J9" s="18">
        <v>20250705</v>
      </c>
      <c r="K9">
        <v>20260705</v>
      </c>
      <c r="L9" t="s">
        <v>495</v>
      </c>
      <c r="M9" t="s">
        <v>653</v>
      </c>
      <c r="N9" t="s">
        <v>219</v>
      </c>
      <c r="O9" t="s">
        <v>406</v>
      </c>
      <c r="P9" t="s">
        <v>691</v>
      </c>
      <c r="Q9" t="s">
        <v>566</v>
      </c>
      <c r="S9" t="s">
        <v>705</v>
      </c>
      <c r="T9">
        <v>1</v>
      </c>
      <c r="U9">
        <v>1</v>
      </c>
      <c r="V9" t="s">
        <v>566</v>
      </c>
      <c r="W9">
        <v>241</v>
      </c>
      <c r="X9" t="s">
        <v>693</v>
      </c>
      <c r="Y9" t="s">
        <v>566</v>
      </c>
      <c r="Z9" t="s">
        <v>654</v>
      </c>
      <c r="AB9" t="s">
        <v>694</v>
      </c>
      <c r="AH9" t="s">
        <v>695</v>
      </c>
    </row>
    <row r="10" spans="1:34" x14ac:dyDescent="0.25">
      <c r="A10" t="s">
        <v>426</v>
      </c>
      <c r="B10" t="s">
        <v>404</v>
      </c>
      <c r="E10" s="1" t="s">
        <v>698</v>
      </c>
      <c r="F10" s="1"/>
      <c r="G10" t="s">
        <v>700</v>
      </c>
      <c r="H10" s="18"/>
      <c r="J10" s="18">
        <v>20250705</v>
      </c>
      <c r="K10">
        <v>20260705</v>
      </c>
      <c r="L10" t="s">
        <v>495</v>
      </c>
      <c r="M10" t="s">
        <v>653</v>
      </c>
      <c r="N10" t="s">
        <v>422</v>
      </c>
      <c r="O10" t="s">
        <v>406</v>
      </c>
      <c r="P10" t="s">
        <v>697</v>
      </c>
      <c r="Q10" t="s">
        <v>566</v>
      </c>
      <c r="S10" t="s">
        <v>705</v>
      </c>
      <c r="T10" t="s">
        <v>704</v>
      </c>
      <c r="U10">
        <v>1</v>
      </c>
      <c r="W10">
        <v>22</v>
      </c>
      <c r="X10" t="s">
        <v>699</v>
      </c>
      <c r="Y10" t="s">
        <v>566</v>
      </c>
      <c r="Z10" t="s">
        <v>654</v>
      </c>
      <c r="AB10" t="s">
        <v>706</v>
      </c>
    </row>
    <row r="11" spans="1:34" ht="16.5" customHeight="1" x14ac:dyDescent="0.25">
      <c r="A11" t="s">
        <v>720</v>
      </c>
      <c r="B11" t="s">
        <v>404</v>
      </c>
      <c r="C11" s="1" t="s">
        <v>420</v>
      </c>
      <c r="E11" t="s">
        <v>421</v>
      </c>
      <c r="F11" t="s">
        <v>40</v>
      </c>
      <c r="G11" t="s">
        <v>41</v>
      </c>
      <c r="H11" s="18" t="s">
        <v>512</v>
      </c>
      <c r="I11">
        <v>2019</v>
      </c>
      <c r="J11" s="18">
        <v>20250705</v>
      </c>
      <c r="K11">
        <v>20260705</v>
      </c>
      <c r="L11" t="s">
        <v>495</v>
      </c>
      <c r="M11" t="s">
        <v>653</v>
      </c>
      <c r="N11" t="s">
        <v>422</v>
      </c>
      <c r="O11" t="s">
        <v>406</v>
      </c>
      <c r="P11" t="s">
        <v>722</v>
      </c>
      <c r="AB11" t="s">
        <v>723</v>
      </c>
    </row>
    <row r="12" spans="1:34" x14ac:dyDescent="0.25">
      <c r="A12" s="18" t="s">
        <v>732</v>
      </c>
      <c r="B12" t="s">
        <v>733</v>
      </c>
      <c r="C12" s="1" t="s">
        <v>730</v>
      </c>
      <c r="D12" s="1" t="s">
        <v>727</v>
      </c>
      <c r="E12" s="1" t="s">
        <v>729</v>
      </c>
      <c r="F12" s="23" t="s">
        <v>728</v>
      </c>
      <c r="G12" t="s">
        <v>43</v>
      </c>
      <c r="H12" s="18" t="s">
        <v>513</v>
      </c>
      <c r="I12">
        <v>2024</v>
      </c>
      <c r="J12" s="18">
        <v>20250705</v>
      </c>
      <c r="K12">
        <v>20260705</v>
      </c>
      <c r="L12" t="s">
        <v>495</v>
      </c>
      <c r="M12" t="s">
        <v>653</v>
      </c>
      <c r="N12" t="s">
        <v>425</v>
      </c>
      <c r="O12" t="s">
        <v>406</v>
      </c>
      <c r="P12" t="s">
        <v>360</v>
      </c>
      <c r="Q12" t="s">
        <v>731</v>
      </c>
      <c r="T12">
        <v>2</v>
      </c>
    </row>
    <row r="13" spans="1:34" x14ac:dyDescent="0.25">
      <c r="A13" t="s">
        <v>735</v>
      </c>
      <c r="B13" t="s">
        <v>733</v>
      </c>
      <c r="E13" s="1" t="s">
        <v>736</v>
      </c>
      <c r="N13" t="s">
        <v>424</v>
      </c>
      <c r="AB13" t="s">
        <v>737</v>
      </c>
      <c r="AC13" t="s">
        <v>738</v>
      </c>
    </row>
    <row r="14" spans="1:34" x14ac:dyDescent="0.25">
      <c r="A14" t="s">
        <v>758</v>
      </c>
      <c r="B14" t="s">
        <v>404</v>
      </c>
      <c r="E14" s="1" t="s">
        <v>428</v>
      </c>
      <c r="G14" t="s">
        <v>750</v>
      </c>
      <c r="I14">
        <v>2023</v>
      </c>
      <c r="J14" s="18">
        <v>20250705</v>
      </c>
      <c r="K14">
        <v>20260705</v>
      </c>
      <c r="L14" t="s">
        <v>495</v>
      </c>
      <c r="M14" t="s">
        <v>653</v>
      </c>
      <c r="N14" t="s">
        <v>216</v>
      </c>
      <c r="O14" t="s">
        <v>739</v>
      </c>
      <c r="P14" t="s">
        <v>239</v>
      </c>
      <c r="Q14" t="s">
        <v>240</v>
      </c>
      <c r="R14" t="s">
        <v>742</v>
      </c>
      <c r="S14" t="s">
        <v>705</v>
      </c>
      <c r="T14">
        <v>2</v>
      </c>
      <c r="U14">
        <v>2</v>
      </c>
      <c r="V14" t="s">
        <v>282</v>
      </c>
      <c r="W14">
        <v>280</v>
      </c>
      <c r="X14" t="s">
        <v>741</v>
      </c>
      <c r="Y14" t="s">
        <v>740</v>
      </c>
      <c r="AA14" t="s">
        <v>272</v>
      </c>
      <c r="AB14" t="s">
        <v>748</v>
      </c>
    </row>
    <row r="15" spans="1:34" x14ac:dyDescent="0.25">
      <c r="A15" t="s">
        <v>759</v>
      </c>
      <c r="B15" t="s">
        <v>404</v>
      </c>
      <c r="E15" s="1" t="s">
        <v>752</v>
      </c>
      <c r="G15" t="s">
        <v>751</v>
      </c>
      <c r="I15">
        <v>2023</v>
      </c>
      <c r="J15" s="18">
        <v>20250705</v>
      </c>
      <c r="K15">
        <v>20260705</v>
      </c>
      <c r="L15" t="s">
        <v>495</v>
      </c>
      <c r="M15" t="s">
        <v>653</v>
      </c>
      <c r="N15" t="s">
        <v>216</v>
      </c>
      <c r="O15" t="s">
        <v>739</v>
      </c>
      <c r="P15" t="s">
        <v>326</v>
      </c>
      <c r="Q15" s="18" t="s">
        <v>744</v>
      </c>
      <c r="R15" s="18" t="s">
        <v>745</v>
      </c>
      <c r="S15" t="s">
        <v>705</v>
      </c>
      <c r="T15">
        <v>2</v>
      </c>
      <c r="U15">
        <v>2</v>
      </c>
      <c r="W15">
        <v>289</v>
      </c>
      <c r="X15" t="s">
        <v>747</v>
      </c>
      <c r="Y15" t="s">
        <v>746</v>
      </c>
      <c r="AA15" t="s">
        <v>753</v>
      </c>
    </row>
    <row r="16" spans="1:34" x14ac:dyDescent="0.25">
      <c r="A16" t="s">
        <v>755</v>
      </c>
      <c r="B16" t="s">
        <v>404</v>
      </c>
      <c r="E16" s="1" t="s">
        <v>429</v>
      </c>
      <c r="G16" t="s">
        <v>756</v>
      </c>
      <c r="J16" s="18">
        <v>20250705</v>
      </c>
      <c r="K16">
        <v>20260705</v>
      </c>
      <c r="L16" t="s">
        <v>495</v>
      </c>
      <c r="M16" t="s">
        <v>653</v>
      </c>
      <c r="N16" t="s">
        <v>754</v>
      </c>
      <c r="O16" t="s">
        <v>406</v>
      </c>
      <c r="P16" t="s">
        <v>427</v>
      </c>
      <c r="W16">
        <v>347</v>
      </c>
      <c r="AA16" t="s">
        <v>757</v>
      </c>
    </row>
    <row r="17" spans="1:29" x14ac:dyDescent="0.25">
      <c r="A17" s="18" t="s">
        <v>779</v>
      </c>
      <c r="E17" t="s">
        <v>786</v>
      </c>
      <c r="F17" t="s">
        <v>778</v>
      </c>
      <c r="G17" t="s">
        <v>777</v>
      </c>
      <c r="H17" t="s">
        <v>784</v>
      </c>
      <c r="I17">
        <v>2020</v>
      </c>
      <c r="J17" s="18">
        <v>20250705</v>
      </c>
      <c r="K17">
        <v>20260705</v>
      </c>
      <c r="L17" t="s">
        <v>495</v>
      </c>
      <c r="M17" t="s">
        <v>653</v>
      </c>
      <c r="N17" t="s">
        <v>777</v>
      </c>
      <c r="O17" t="s">
        <v>406</v>
      </c>
      <c r="P17" t="s">
        <v>788</v>
      </c>
      <c r="AB17" t="s">
        <v>787</v>
      </c>
    </row>
    <row r="18" spans="1:29" x14ac:dyDescent="0.25">
      <c r="A18" t="s">
        <v>783</v>
      </c>
      <c r="E18" t="s">
        <v>791</v>
      </c>
      <c r="F18" s="1" t="s">
        <v>792</v>
      </c>
      <c r="G18" t="s">
        <v>790</v>
      </c>
      <c r="H18" t="s">
        <v>793</v>
      </c>
      <c r="I18">
        <v>2022</v>
      </c>
      <c r="J18" s="18">
        <v>20250705</v>
      </c>
      <c r="K18">
        <v>20260705</v>
      </c>
      <c r="L18" t="s">
        <v>495</v>
      </c>
      <c r="M18" t="s">
        <v>653</v>
      </c>
      <c r="N18" t="s">
        <v>790</v>
      </c>
      <c r="O18" t="s">
        <v>739</v>
      </c>
      <c r="P18" t="s">
        <v>326</v>
      </c>
      <c r="Q18" t="s">
        <v>789</v>
      </c>
      <c r="S18" t="s">
        <v>265</v>
      </c>
      <c r="T18">
        <v>8</v>
      </c>
      <c r="U18">
        <v>5</v>
      </c>
      <c r="V18" t="s">
        <v>272</v>
      </c>
      <c r="W18">
        <v>960</v>
      </c>
      <c r="X18" t="s">
        <v>796</v>
      </c>
      <c r="Y18" t="s">
        <v>797</v>
      </c>
      <c r="AA18" t="s">
        <v>795</v>
      </c>
    </row>
    <row r="19" spans="1:29" x14ac:dyDescent="0.25">
      <c r="A19" t="s">
        <v>811</v>
      </c>
      <c r="B19" t="s">
        <v>404</v>
      </c>
      <c r="C19" s="18" t="s">
        <v>804</v>
      </c>
      <c r="E19" s="1" t="s">
        <v>802</v>
      </c>
      <c r="F19" t="s">
        <v>801</v>
      </c>
      <c r="G19" t="s">
        <v>216</v>
      </c>
      <c r="H19" t="s">
        <v>800</v>
      </c>
      <c r="J19" s="18">
        <v>20250705</v>
      </c>
      <c r="K19">
        <v>20260705</v>
      </c>
      <c r="L19" t="s">
        <v>495</v>
      </c>
      <c r="M19" t="s">
        <v>653</v>
      </c>
      <c r="N19" t="s">
        <v>216</v>
      </c>
      <c r="O19" t="s">
        <v>739</v>
      </c>
      <c r="P19" t="s">
        <v>239</v>
      </c>
      <c r="T19">
        <v>2</v>
      </c>
      <c r="W19" s="6"/>
      <c r="X19" s="6"/>
      <c r="AA19" t="s">
        <v>803</v>
      </c>
    </row>
    <row r="20" spans="1:29" x14ac:dyDescent="0.25">
      <c r="A20" t="s">
        <v>810</v>
      </c>
      <c r="B20" t="s">
        <v>733</v>
      </c>
      <c r="E20" t="s">
        <v>806</v>
      </c>
      <c r="F20" t="s">
        <v>807</v>
      </c>
      <c r="G20" t="s">
        <v>805</v>
      </c>
      <c r="H20" t="s">
        <v>808</v>
      </c>
      <c r="J20" s="18">
        <v>20250705</v>
      </c>
      <c r="K20">
        <v>20260705</v>
      </c>
      <c r="L20" t="s">
        <v>495</v>
      </c>
      <c r="M20" t="s">
        <v>653</v>
      </c>
      <c r="N20" t="s">
        <v>805</v>
      </c>
      <c r="O20" t="s">
        <v>406</v>
      </c>
      <c r="P20" t="s">
        <v>812</v>
      </c>
    </row>
    <row r="21" spans="1:29" x14ac:dyDescent="0.25">
      <c r="A21" t="s">
        <v>813</v>
      </c>
      <c r="B21" t="s">
        <v>404</v>
      </c>
      <c r="E21" t="s">
        <v>814</v>
      </c>
      <c r="F21" t="s">
        <v>816</v>
      </c>
      <c r="H21" t="s">
        <v>818</v>
      </c>
      <c r="I21">
        <v>2023</v>
      </c>
      <c r="J21" s="18">
        <v>20250705</v>
      </c>
      <c r="K21">
        <v>20260705</v>
      </c>
      <c r="L21" t="s">
        <v>495</v>
      </c>
      <c r="M21" t="s">
        <v>653</v>
      </c>
      <c r="N21" t="s">
        <v>219</v>
      </c>
      <c r="O21" t="s">
        <v>406</v>
      </c>
      <c r="P21" t="s">
        <v>815</v>
      </c>
      <c r="U21">
        <v>4</v>
      </c>
      <c r="W21">
        <v>1122</v>
      </c>
    </row>
    <row r="22" spans="1:29" x14ac:dyDescent="0.25">
      <c r="A22" t="s">
        <v>825</v>
      </c>
      <c r="E22" t="s">
        <v>826</v>
      </c>
      <c r="G22" t="s">
        <v>822</v>
      </c>
      <c r="H22" t="s">
        <v>821</v>
      </c>
      <c r="I22">
        <v>2023</v>
      </c>
      <c r="J22" s="18">
        <v>20250705</v>
      </c>
      <c r="K22">
        <v>20260705</v>
      </c>
      <c r="L22" t="s">
        <v>495</v>
      </c>
      <c r="M22" t="s">
        <v>653</v>
      </c>
      <c r="N22" t="s">
        <v>819</v>
      </c>
      <c r="O22" t="s">
        <v>406</v>
      </c>
      <c r="X22" t="s">
        <v>820</v>
      </c>
    </row>
    <row r="23" spans="1:29" x14ac:dyDescent="0.25">
      <c r="A23" t="s">
        <v>827</v>
      </c>
      <c r="E23" t="s">
        <v>829</v>
      </c>
      <c r="N23" t="s">
        <v>828</v>
      </c>
      <c r="O23" t="s">
        <v>406</v>
      </c>
      <c r="P23" t="s">
        <v>688</v>
      </c>
      <c r="W23" s="1"/>
      <c r="X23" t="s">
        <v>829</v>
      </c>
      <c r="AC23" t="s">
        <v>830</v>
      </c>
    </row>
    <row r="24" spans="1:29" x14ac:dyDescent="0.25">
      <c r="H24" s="4"/>
      <c r="I24" s="4"/>
    </row>
    <row r="25" spans="1:29" x14ac:dyDescent="0.25">
      <c r="D25" s="1"/>
      <c r="F25" s="1"/>
      <c r="J25" s="7"/>
      <c r="K25" s="7"/>
    </row>
    <row r="26" spans="1:29" x14ac:dyDescent="0.25">
      <c r="F26" s="1"/>
    </row>
    <row r="27" spans="1:29" x14ac:dyDescent="0.25">
      <c r="F27" s="1"/>
    </row>
    <row r="28" spans="1:29" x14ac:dyDescent="0.25">
      <c r="B28" s="1"/>
    </row>
    <row r="29" spans="1:29" x14ac:dyDescent="0.25">
      <c r="B29" s="1"/>
    </row>
    <row r="32" spans="1:29" x14ac:dyDescent="0.25">
      <c r="A32" t="s">
        <v>709</v>
      </c>
      <c r="I32" t="s">
        <v>226</v>
      </c>
    </row>
    <row r="33" spans="1:12" x14ac:dyDescent="0.25">
      <c r="A33" t="s">
        <v>749</v>
      </c>
    </row>
    <row r="34" spans="1:12" x14ac:dyDescent="0.25">
      <c r="A34" t="s">
        <v>916</v>
      </c>
    </row>
    <row r="45" spans="1:12" x14ac:dyDescent="0.25">
      <c r="D45" t="s">
        <v>227</v>
      </c>
      <c r="E45" t="s">
        <v>228</v>
      </c>
      <c r="F45" t="s">
        <v>229</v>
      </c>
      <c r="L45" t="s">
        <v>230</v>
      </c>
    </row>
    <row r="46" spans="1:12" x14ac:dyDescent="0.25">
      <c r="D46" t="s">
        <v>917</v>
      </c>
    </row>
    <row r="66" spans="1:5" ht="15.75" x14ac:dyDescent="0.25">
      <c r="A66" t="s">
        <v>780</v>
      </c>
      <c r="C66" s="34" t="s">
        <v>781</v>
      </c>
      <c r="E66" t="s">
        <v>782</v>
      </c>
    </row>
  </sheetData>
  <mergeCells count="1">
    <mergeCell ref="F1:H1"/>
  </mergeCells>
  <hyperlinks>
    <hyperlink ref="E6" r:id="rId1" xr:uid="{132490C9-8120-4E27-984A-053E21B89669}"/>
    <hyperlink ref="C11" r:id="rId2" xr:uid="{F7CA7749-3682-4901-B7DD-F64002BBB3FD}"/>
    <hyperlink ref="F4" r:id="rId3" display="https://doi.org/10.1126/science.aau5324" xr:uid="{CFCE744A-5F12-4593-9625-D14412D5976D}"/>
    <hyperlink ref="E4" r:id="rId4" xr:uid="{5D41E9B3-D27F-41BD-A087-F0C3896E6087}"/>
    <hyperlink ref="F6" r:id="rId5" display="https://doi.org/10.1126/science.aat5691" xr:uid="{EB8AA100-ABD8-4CEB-8EEB-04F9436A2999}"/>
    <hyperlink ref="C9" r:id="rId6" display="https://doi.org/10.5061/dryad.jm63xsjb2" xr:uid="{E3C54C56-340E-4C16-857E-345119E289C2}"/>
    <hyperlink ref="E10" r:id="rId7" display="https://github.com/spacetx-spacejam/data" xr:uid="{055219CD-57D4-4607-B8FF-BEC899F917C5}"/>
    <hyperlink ref="D12" r:id="rId8" display="https://www.ncbi.nlm.nih.gov/geo/query/acc.cgi?acc=GSE266556" xr:uid="{F154E00A-1CB5-4ECC-B789-1045358F7965}"/>
    <hyperlink ref="F12" r:id="rId9" display="https://doi.org/10.1038/s41592-024-02415-2" xr:uid="{DCB6E688-BD4E-4D59-8F46-268DD78110A1}"/>
    <hyperlink ref="C12" r:id="rId10" xr:uid="{F3FC3303-C13B-4601-9638-6CA350BAA9F1}"/>
    <hyperlink ref="E13" r:id="rId11" xr:uid="{6875B4FC-CAAB-415C-8D8E-934FF92E2555}"/>
    <hyperlink ref="E14" r:id="rId12" display="https://www.10xgenomics.com/resources/datasets/ffpe-human-breast-with-pre-designed-panel-1-standard" xr:uid="{89C95751-EC45-46CC-AE9F-22A72831E6E8}"/>
    <hyperlink ref="E15" r:id="rId13" xr:uid="{1E13FABC-0DE1-4CDE-A62E-F29B6FA4E488}"/>
    <hyperlink ref="E16" r:id="rId14" xr:uid="{8A7A85C9-3410-4C37-A0F3-AD853A485545}"/>
    <hyperlink ref="E19" r:id="rId15" xr:uid="{ABB7F405-48F7-4891-8FD2-315AB74CD9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papers</vt:lpstr>
      <vt:lpstr>Data_SP</vt:lpstr>
      <vt:lpstr>Data_multi</vt:lpstr>
      <vt:lpstr>Data_ST</vt:lpstr>
      <vt:lpstr>Data_SP!bbib18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Marta Fernandes Tavares Sequeira</dc:creator>
  <cp:lastModifiedBy>Ana Marta Fernandes Tavares Sequeira</cp:lastModifiedBy>
  <dcterms:created xsi:type="dcterms:W3CDTF">2025-07-18T21:01:19Z</dcterms:created>
  <dcterms:modified xsi:type="dcterms:W3CDTF">2026-07-07T22:18:04Z</dcterms:modified>
</cp:coreProperties>
</file>